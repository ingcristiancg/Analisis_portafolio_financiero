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icrosoft-my.sharepoint.com/personal/juzapata_microsoft_com/Documents/MBA/SM26_BIA6042_Financial Management with Artificial Intelligence/semana4/"/>
    </mc:Choice>
  </mc:AlternateContent>
  <xr:revisionPtr revIDLastSave="508" documentId="8_{614FEAE7-E6C9-4D3A-99EB-B7E88E5911EF}" xr6:coauthVersionLast="47" xr6:coauthVersionMax="47" xr10:uidLastSave="{5D8B3156-CBB9-4ACB-BAD7-5329EB116B0D}"/>
  <bookViews>
    <workbookView xWindow="57480" yWindow="-120" windowWidth="29040" windowHeight="15720" xr2:uid="{00000000-000D-0000-FFFF-FFFF00000000}"/>
  </bookViews>
  <sheets>
    <sheet name="report" sheetId="1" r:id="rId1"/>
    <sheet name="Gráficas" sheetId="2" r:id="rId2"/>
    <sheet name="Crecimiento" sheetId="3" r:id="rId3"/>
    <sheet name="Gráficas Crecimiento" sheetId="4" r:id="rId4"/>
    <sheet name="Crecimiento Total" sheetId="5" r:id="rId5"/>
  </sheets>
  <definedNames>
    <definedName name="_xlnm._FilterDatabase" localSheetId="0" hidden="1">report!$A$1:$V$1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48" i="1" l="1"/>
  <c r="AA4" i="1"/>
  <c r="Z4" i="1" s="1"/>
  <c r="AB4" i="1"/>
  <c r="AC4" i="1"/>
  <c r="AA5" i="1"/>
  <c r="Z5" i="1" s="1"/>
  <c r="AB5" i="1"/>
  <c r="AC5" i="1"/>
  <c r="AA6" i="1"/>
  <c r="Z6" i="1" s="1"/>
  <c r="AB6" i="1"/>
  <c r="AC6" i="1"/>
  <c r="AA7" i="1"/>
  <c r="Z7" i="1" s="1"/>
  <c r="AB7" i="1"/>
  <c r="AC7" i="1"/>
  <c r="AA8" i="1"/>
  <c r="Z8" i="1" s="1"/>
  <c r="AB8" i="1"/>
  <c r="AC8" i="1"/>
  <c r="Z9" i="1"/>
  <c r="AA9" i="1"/>
  <c r="AB9" i="1"/>
  <c r="AC9" i="1"/>
  <c r="AA10" i="1"/>
  <c r="Z10" i="1" s="1"/>
  <c r="AB10" i="1"/>
  <c r="AC10" i="1"/>
  <c r="AA11" i="1"/>
  <c r="Z11" i="1" s="1"/>
  <c r="AB11" i="1"/>
  <c r="AC11" i="1"/>
  <c r="AA12" i="1"/>
  <c r="Z12" i="1" s="1"/>
  <c r="AB12" i="1"/>
  <c r="AC12" i="1"/>
  <c r="AA13" i="1"/>
  <c r="Z13" i="1" s="1"/>
  <c r="AB13" i="1"/>
  <c r="AC13" i="1"/>
  <c r="AA14" i="1"/>
  <c r="Z14" i="1" s="1"/>
  <c r="AB14" i="1"/>
  <c r="AC14" i="1"/>
  <c r="Z15" i="1"/>
  <c r="AA15" i="1"/>
  <c r="AB15" i="1"/>
  <c r="AC15" i="1"/>
  <c r="AA16" i="1"/>
  <c r="AB16" i="1"/>
  <c r="Z16" i="1" s="1"/>
  <c r="AC16" i="1"/>
  <c r="AA17" i="1"/>
  <c r="Z17" i="1" s="1"/>
  <c r="AB17" i="1"/>
  <c r="AC17" i="1"/>
  <c r="AA18" i="1"/>
  <c r="Z18" i="1" s="1"/>
  <c r="AB18" i="1"/>
  <c r="AC18" i="1"/>
  <c r="AA19" i="1"/>
  <c r="Z19" i="1" s="1"/>
  <c r="AB19" i="1"/>
  <c r="AC19" i="1"/>
  <c r="AA20" i="1"/>
  <c r="Z20" i="1" s="1"/>
  <c r="AB20" i="1"/>
  <c r="AC20" i="1"/>
  <c r="AA21" i="1"/>
  <c r="Z21" i="1" s="1"/>
  <c r="AB21" i="1"/>
  <c r="AC21" i="1"/>
  <c r="AA22" i="1"/>
  <c r="Z22" i="1" s="1"/>
  <c r="AB22" i="1"/>
  <c r="AC22" i="1"/>
  <c r="AA23" i="1"/>
  <c r="Z23" i="1" s="1"/>
  <c r="AB23" i="1"/>
  <c r="AC23" i="1"/>
  <c r="AA24" i="1"/>
  <c r="AB24" i="1"/>
  <c r="Z24" i="1" s="1"/>
  <c r="AC24" i="1"/>
  <c r="AA25" i="1"/>
  <c r="Z25" i="1" s="1"/>
  <c r="AB25" i="1"/>
  <c r="AC25" i="1"/>
  <c r="AA26" i="1"/>
  <c r="Z26" i="1" s="1"/>
  <c r="AB26" i="1"/>
  <c r="AC26" i="1"/>
  <c r="AA27" i="1"/>
  <c r="Z27" i="1" s="1"/>
  <c r="AB27" i="1"/>
  <c r="AC27" i="1"/>
  <c r="AA28" i="1"/>
  <c r="Z28" i="1" s="1"/>
  <c r="AB28" i="1"/>
  <c r="AC28" i="1"/>
  <c r="AA29" i="1"/>
  <c r="AB29" i="1"/>
  <c r="Z29" i="1" s="1"/>
  <c r="AC29" i="1"/>
  <c r="AA30" i="1"/>
  <c r="Z30" i="1" s="1"/>
  <c r="AB30" i="1"/>
  <c r="AC30" i="1"/>
  <c r="AA31" i="1"/>
  <c r="AB31" i="1"/>
  <c r="Z31" i="1" s="1"/>
  <c r="AC31" i="1"/>
  <c r="AA32" i="1"/>
  <c r="Z32" i="1" s="1"/>
  <c r="AB32" i="1"/>
  <c r="AC32" i="1"/>
  <c r="AA33" i="1"/>
  <c r="Z33" i="1" s="1"/>
  <c r="AB33" i="1"/>
  <c r="AC33" i="1"/>
  <c r="AA34" i="1"/>
  <c r="Z34" i="1" s="1"/>
  <c r="AB34" i="1"/>
  <c r="AC34" i="1"/>
  <c r="AA35" i="1"/>
  <c r="AB35" i="1"/>
  <c r="Z35" i="1" s="1"/>
  <c r="AC35" i="1"/>
  <c r="AA36" i="1"/>
  <c r="AB36" i="1"/>
  <c r="Z36" i="1" s="1"/>
  <c r="AC36" i="1"/>
  <c r="AA37" i="1"/>
  <c r="Z37" i="1" s="1"/>
  <c r="AB37" i="1"/>
  <c r="AC37" i="1"/>
  <c r="AA38" i="1"/>
  <c r="Z38" i="1" s="1"/>
  <c r="AB38" i="1"/>
  <c r="AC38" i="1"/>
  <c r="AA39" i="1"/>
  <c r="Z39" i="1" s="1"/>
  <c r="AB39" i="1"/>
  <c r="AC39" i="1"/>
  <c r="AA40" i="1"/>
  <c r="Z40" i="1" s="1"/>
  <c r="AB40" i="1"/>
  <c r="AC40" i="1"/>
  <c r="AA41" i="1"/>
  <c r="Z41" i="1" s="1"/>
  <c r="AB41" i="1"/>
  <c r="AC41" i="1"/>
  <c r="AA42" i="1"/>
  <c r="Z42" i="1" s="1"/>
  <c r="AB42" i="1"/>
  <c r="AC42" i="1"/>
  <c r="AA43" i="1"/>
  <c r="Z43" i="1" s="1"/>
  <c r="AB43" i="1"/>
  <c r="AC43" i="1"/>
  <c r="AA44" i="1"/>
  <c r="Z44" i="1" s="1"/>
  <c r="AB44" i="1"/>
  <c r="AC44" i="1"/>
  <c r="AA45" i="1"/>
  <c r="Z45" i="1" s="1"/>
  <c r="AB45" i="1"/>
  <c r="AC45" i="1"/>
  <c r="AA46" i="1"/>
  <c r="Z46" i="1" s="1"/>
  <c r="AB46" i="1"/>
  <c r="AC46" i="1"/>
  <c r="AA47" i="1"/>
  <c r="Z47" i="1" s="1"/>
  <c r="AB47" i="1"/>
  <c r="AC47" i="1"/>
  <c r="AA48" i="1"/>
  <c r="Z48" i="1" s="1"/>
  <c r="AB48" i="1"/>
  <c r="AC48" i="1"/>
  <c r="AA49" i="1"/>
  <c r="Z49" i="1" s="1"/>
  <c r="AB49" i="1"/>
  <c r="AC49" i="1"/>
  <c r="AA50" i="1"/>
  <c r="Z50" i="1" s="1"/>
  <c r="AB50" i="1"/>
  <c r="AC50" i="1"/>
  <c r="AA51" i="1"/>
  <c r="Z51" i="1" s="1"/>
  <c r="AB51" i="1"/>
  <c r="AC51" i="1"/>
  <c r="AA52" i="1"/>
  <c r="Z52" i="1" s="1"/>
  <c r="AB52" i="1"/>
  <c r="AC52" i="1"/>
  <c r="AA53" i="1"/>
  <c r="Z53" i="1" s="1"/>
  <c r="AB53" i="1"/>
  <c r="AC53" i="1"/>
  <c r="AA54" i="1"/>
  <c r="Z54" i="1" s="1"/>
  <c r="AB54" i="1"/>
  <c r="AC54" i="1"/>
  <c r="AA55" i="1"/>
  <c r="Z55" i="1" s="1"/>
  <c r="AB55" i="1"/>
  <c r="AC55" i="1"/>
  <c r="AA56" i="1"/>
  <c r="Z56" i="1" s="1"/>
  <c r="AB56" i="1"/>
  <c r="AC56" i="1"/>
  <c r="AA57" i="1"/>
  <c r="Z57" i="1" s="1"/>
  <c r="AB57" i="1"/>
  <c r="AC57" i="1"/>
  <c r="AA58" i="1"/>
  <c r="Z58" i="1" s="1"/>
  <c r="AB58" i="1"/>
  <c r="AC58" i="1"/>
  <c r="AA59" i="1"/>
  <c r="Z59" i="1" s="1"/>
  <c r="AB59" i="1"/>
  <c r="AC59" i="1"/>
  <c r="AA60" i="1"/>
  <c r="Z60" i="1" s="1"/>
  <c r="AB60" i="1"/>
  <c r="AC60" i="1"/>
  <c r="AA61" i="1"/>
  <c r="Z61" i="1" s="1"/>
  <c r="AB61" i="1"/>
  <c r="AC61" i="1"/>
  <c r="AA62" i="1"/>
  <c r="Z62" i="1" s="1"/>
  <c r="AB62" i="1"/>
  <c r="AC62" i="1"/>
  <c r="AA63" i="1"/>
  <c r="Z63" i="1" s="1"/>
  <c r="AB63" i="1"/>
  <c r="AC63" i="1"/>
  <c r="AA64" i="1"/>
  <c r="Z64" i="1" s="1"/>
  <c r="AB64" i="1"/>
  <c r="AC64" i="1"/>
  <c r="AA65" i="1"/>
  <c r="Z65" i="1" s="1"/>
  <c r="AB65" i="1"/>
  <c r="AC65" i="1"/>
  <c r="AA66" i="1"/>
  <c r="Z66" i="1" s="1"/>
  <c r="AB66" i="1"/>
  <c r="AC66" i="1"/>
  <c r="AA67" i="1"/>
  <c r="Z67" i="1" s="1"/>
  <c r="AB67" i="1"/>
  <c r="AC67" i="1"/>
  <c r="AA68" i="1"/>
  <c r="Z68" i="1" s="1"/>
  <c r="AB68" i="1"/>
  <c r="AC68" i="1"/>
  <c r="AA69" i="1"/>
  <c r="Z69" i="1" s="1"/>
  <c r="AB69" i="1"/>
  <c r="AC69" i="1"/>
  <c r="AA70" i="1"/>
  <c r="Z70" i="1" s="1"/>
  <c r="AB70" i="1"/>
  <c r="AC70" i="1"/>
  <c r="AA71" i="1"/>
  <c r="Z71" i="1" s="1"/>
  <c r="AB71" i="1"/>
  <c r="AC71" i="1"/>
  <c r="AA72" i="1"/>
  <c r="Z72" i="1" s="1"/>
  <c r="AB72" i="1"/>
  <c r="AC72" i="1"/>
  <c r="AA73" i="1"/>
  <c r="Z73" i="1" s="1"/>
  <c r="AB73" i="1"/>
  <c r="AC73" i="1"/>
  <c r="AA74" i="1"/>
  <c r="Z74" i="1" s="1"/>
  <c r="AB74" i="1"/>
  <c r="AC74" i="1"/>
  <c r="AA75" i="1"/>
  <c r="Z75" i="1" s="1"/>
  <c r="AB75" i="1"/>
  <c r="AC75" i="1"/>
  <c r="AA76" i="1"/>
  <c r="Z76" i="1" s="1"/>
  <c r="AB76" i="1"/>
  <c r="AC76" i="1"/>
  <c r="AA77" i="1"/>
  <c r="Z77" i="1" s="1"/>
  <c r="AB77" i="1"/>
  <c r="AC77" i="1"/>
  <c r="AA78" i="1"/>
  <c r="AB78" i="1"/>
  <c r="Z78" i="1" s="1"/>
  <c r="AC78" i="1"/>
  <c r="AA79" i="1"/>
  <c r="Z79" i="1" s="1"/>
  <c r="AB79" i="1"/>
  <c r="AC79" i="1"/>
  <c r="AA80" i="1"/>
  <c r="Z80" i="1" s="1"/>
  <c r="AB80" i="1"/>
  <c r="AC80" i="1"/>
  <c r="AA81" i="1"/>
  <c r="AB81" i="1"/>
  <c r="Z81" i="1" s="1"/>
  <c r="AC81" i="1"/>
  <c r="AA82" i="1"/>
  <c r="Z82" i="1" s="1"/>
  <c r="AB82" i="1"/>
  <c r="AC82" i="1"/>
  <c r="AA83" i="1"/>
  <c r="Z83" i="1" s="1"/>
  <c r="AB83" i="1"/>
  <c r="AC83" i="1"/>
  <c r="AA84" i="1"/>
  <c r="Z84" i="1" s="1"/>
  <c r="AB84" i="1"/>
  <c r="AC84" i="1"/>
  <c r="AA85" i="1"/>
  <c r="Z85" i="1" s="1"/>
  <c r="AB85" i="1"/>
  <c r="AC85" i="1"/>
  <c r="AA86" i="1"/>
  <c r="Z86" i="1" s="1"/>
  <c r="AB86" i="1"/>
  <c r="AC86" i="1"/>
  <c r="AA87" i="1"/>
  <c r="Z87" i="1" s="1"/>
  <c r="AB87" i="1"/>
  <c r="AC87" i="1"/>
  <c r="AA88" i="1"/>
  <c r="Z88" i="1" s="1"/>
  <c r="AB88" i="1"/>
  <c r="AC88" i="1"/>
  <c r="AA89" i="1"/>
  <c r="Z89" i="1" s="1"/>
  <c r="AB89" i="1"/>
  <c r="AC89" i="1"/>
  <c r="AA90" i="1"/>
  <c r="Z90" i="1" s="1"/>
  <c r="AB90" i="1"/>
  <c r="AC90" i="1"/>
  <c r="AA91" i="1"/>
  <c r="Z91" i="1" s="1"/>
  <c r="AB91" i="1"/>
  <c r="AC91" i="1"/>
  <c r="AA92" i="1"/>
  <c r="Z92" i="1" s="1"/>
  <c r="AB92" i="1"/>
  <c r="AC92" i="1"/>
  <c r="AA93" i="1"/>
  <c r="Z93" i="1" s="1"/>
  <c r="AB93" i="1"/>
  <c r="AC93" i="1"/>
  <c r="AA94" i="1"/>
  <c r="Z94" i="1" s="1"/>
  <c r="AB94" i="1"/>
  <c r="AC94" i="1"/>
  <c r="AA95" i="1"/>
  <c r="Z95" i="1" s="1"/>
  <c r="AB95" i="1"/>
  <c r="AC95" i="1"/>
  <c r="AA96" i="1"/>
  <c r="Z96" i="1" s="1"/>
  <c r="AB96" i="1"/>
  <c r="AC96" i="1"/>
  <c r="AA97" i="1"/>
  <c r="Z97" i="1" s="1"/>
  <c r="AB97" i="1"/>
  <c r="AC97" i="1"/>
  <c r="AA98" i="1"/>
  <c r="Z98" i="1" s="1"/>
  <c r="AB98" i="1"/>
  <c r="AC98" i="1"/>
  <c r="AA99" i="1"/>
  <c r="Z99" i="1" s="1"/>
  <c r="AB99" i="1"/>
  <c r="AC99" i="1"/>
  <c r="AA100" i="1"/>
  <c r="Z100" i="1" s="1"/>
  <c r="AB100" i="1"/>
  <c r="AC100" i="1"/>
  <c r="AA101" i="1"/>
  <c r="AB101" i="1"/>
  <c r="AC101" i="1"/>
  <c r="Z101" i="1" s="1"/>
  <c r="AA102" i="1"/>
  <c r="Z102" i="1" s="1"/>
  <c r="AB102" i="1"/>
  <c r="AC102" i="1"/>
  <c r="AA103" i="1"/>
  <c r="Z103" i="1" s="1"/>
  <c r="AB103" i="1"/>
  <c r="AC103" i="1"/>
  <c r="AA104" i="1"/>
  <c r="Z104" i="1" s="1"/>
  <c r="AB104" i="1"/>
  <c r="AC104" i="1"/>
  <c r="AA105" i="1"/>
  <c r="Z105" i="1" s="1"/>
  <c r="AB105" i="1"/>
  <c r="AC105" i="1"/>
  <c r="Z106" i="1"/>
  <c r="AA106" i="1"/>
  <c r="AB106" i="1"/>
  <c r="AC106" i="1"/>
  <c r="AA107" i="1"/>
  <c r="Z107" i="1" s="1"/>
  <c r="AB107" i="1"/>
  <c r="AC107" i="1"/>
  <c r="AA108" i="1"/>
  <c r="Z108" i="1" s="1"/>
  <c r="AB108" i="1"/>
  <c r="AC108" i="1"/>
  <c r="AA109" i="1"/>
  <c r="Z109" i="1" s="1"/>
  <c r="AB109" i="1"/>
  <c r="AC109" i="1"/>
  <c r="AA110" i="1"/>
  <c r="Z110" i="1" s="1"/>
  <c r="AB110" i="1"/>
  <c r="AC110" i="1"/>
  <c r="AA111" i="1"/>
  <c r="Z111" i="1" s="1"/>
  <c r="AB111" i="1"/>
  <c r="AC111" i="1"/>
  <c r="AA112" i="1"/>
  <c r="Z112" i="1" s="1"/>
  <c r="AB112" i="1"/>
  <c r="AC112" i="1"/>
  <c r="AA113" i="1"/>
  <c r="Z113" i="1" s="1"/>
  <c r="AB113" i="1"/>
  <c r="AC113" i="1"/>
  <c r="AA114" i="1"/>
  <c r="Z114" i="1" s="1"/>
  <c r="AB114" i="1"/>
  <c r="AC114" i="1"/>
  <c r="AA115" i="1"/>
  <c r="Z115" i="1" s="1"/>
  <c r="AB115" i="1"/>
  <c r="AC115" i="1"/>
  <c r="AA116" i="1"/>
  <c r="Z116" i="1" s="1"/>
  <c r="AB116" i="1"/>
  <c r="AC116" i="1"/>
  <c r="AA117" i="1"/>
  <c r="AB117" i="1"/>
  <c r="Z117" i="1" s="1"/>
  <c r="AC117" i="1"/>
  <c r="AA118" i="1"/>
  <c r="Z118" i="1" s="1"/>
  <c r="AB118" i="1"/>
  <c r="AC118" i="1"/>
  <c r="AA119" i="1"/>
  <c r="Z119" i="1" s="1"/>
  <c r="AB119" i="1"/>
  <c r="AC119" i="1"/>
  <c r="AA120" i="1"/>
  <c r="Z120" i="1" s="1"/>
  <c r="AB120" i="1"/>
  <c r="AC120" i="1"/>
  <c r="AA121" i="1"/>
  <c r="AB121" i="1"/>
  <c r="Z121" i="1" s="1"/>
  <c r="AC121" i="1"/>
  <c r="AA122" i="1"/>
  <c r="Z122" i="1" s="1"/>
  <c r="AB122" i="1"/>
  <c r="AC122" i="1"/>
  <c r="AA123" i="1"/>
  <c r="Z123" i="1" s="1"/>
  <c r="AB123" i="1"/>
  <c r="AC123" i="1"/>
  <c r="AA124" i="1"/>
  <c r="Z124" i="1" s="1"/>
  <c r="AB124" i="1"/>
  <c r="AC124" i="1"/>
  <c r="AA125" i="1"/>
  <c r="Z125" i="1" s="1"/>
  <c r="AB125" i="1"/>
  <c r="AC125" i="1"/>
  <c r="AA126" i="1"/>
  <c r="Z126" i="1" s="1"/>
  <c r="AB126" i="1"/>
  <c r="AC126" i="1"/>
  <c r="AA127" i="1"/>
  <c r="AB127" i="1"/>
  <c r="Z127" i="1" s="1"/>
  <c r="AC127" i="1"/>
  <c r="AA128" i="1"/>
  <c r="AB128" i="1"/>
  <c r="Z128" i="1" s="1"/>
  <c r="AC128" i="1"/>
  <c r="AA129" i="1"/>
  <c r="AB129" i="1"/>
  <c r="Z129" i="1" s="1"/>
  <c r="AC129" i="1"/>
  <c r="AA130" i="1"/>
  <c r="Z130" i="1" s="1"/>
  <c r="AB130" i="1"/>
  <c r="AC130" i="1"/>
  <c r="AA131" i="1"/>
  <c r="Z131" i="1" s="1"/>
  <c r="AB131" i="1"/>
  <c r="AC131" i="1"/>
  <c r="AA132" i="1"/>
  <c r="Z132" i="1" s="1"/>
  <c r="AB132" i="1"/>
  <c r="AC132" i="1"/>
  <c r="AA133" i="1"/>
  <c r="Z133" i="1" s="1"/>
  <c r="AB133" i="1"/>
  <c r="AC133" i="1"/>
  <c r="AA134" i="1"/>
  <c r="AB134" i="1"/>
  <c r="Z134" i="1" s="1"/>
  <c r="AC134" i="1"/>
  <c r="AA135" i="1"/>
  <c r="Z135" i="1" s="1"/>
  <c r="AB135" i="1"/>
  <c r="AC135" i="1"/>
  <c r="AA136" i="1"/>
  <c r="Z136" i="1" s="1"/>
  <c r="AB136" i="1"/>
  <c r="AC136" i="1"/>
  <c r="AA137" i="1"/>
  <c r="Z137" i="1" s="1"/>
  <c r="AB137" i="1"/>
  <c r="AC137" i="1"/>
  <c r="AA138" i="1"/>
  <c r="Z138" i="1" s="1"/>
  <c r="AB138" i="1"/>
  <c r="AC138" i="1"/>
  <c r="AA139" i="1"/>
  <c r="Z139" i="1" s="1"/>
  <c r="AB139" i="1"/>
  <c r="AC139" i="1"/>
  <c r="AA140" i="1"/>
  <c r="Z140" i="1" s="1"/>
  <c r="AB140" i="1"/>
  <c r="AC140" i="1"/>
  <c r="AA141" i="1"/>
  <c r="Z141" i="1" s="1"/>
  <c r="AB141" i="1"/>
  <c r="AC141" i="1"/>
  <c r="AA142" i="1"/>
  <c r="Z142" i="1" s="1"/>
  <c r="AB142" i="1"/>
  <c r="AC142" i="1"/>
  <c r="AA143" i="1"/>
  <c r="Z143" i="1" s="1"/>
  <c r="AB143" i="1"/>
  <c r="AC143" i="1"/>
  <c r="AA144" i="1"/>
  <c r="Z144" i="1" s="1"/>
  <c r="AB144" i="1"/>
  <c r="AC144" i="1"/>
  <c r="AA145" i="1"/>
  <c r="AB145" i="1"/>
  <c r="Z145" i="1" s="1"/>
  <c r="AC145" i="1"/>
  <c r="AA146" i="1"/>
  <c r="Z146" i="1" s="1"/>
  <c r="AB146" i="1"/>
  <c r="AC146" i="1"/>
  <c r="AA147" i="1"/>
  <c r="AB147" i="1"/>
  <c r="Z147" i="1" s="1"/>
  <c r="AC147" i="1"/>
  <c r="AA148" i="1"/>
  <c r="Z148" i="1" s="1"/>
  <c r="AB148" i="1"/>
  <c r="AC148" i="1"/>
  <c r="AA149" i="1"/>
  <c r="AB149" i="1"/>
  <c r="Z149" i="1" s="1"/>
  <c r="AC149" i="1"/>
  <c r="AA150" i="1"/>
  <c r="Z150" i="1" s="1"/>
  <c r="AB150" i="1"/>
  <c r="AC150" i="1"/>
  <c r="AA151" i="1"/>
  <c r="Z151" i="1" s="1"/>
  <c r="AB151" i="1"/>
  <c r="AC151" i="1"/>
  <c r="AA152" i="1"/>
  <c r="Z152" i="1" s="1"/>
  <c r="AB152" i="1"/>
  <c r="AC152" i="1"/>
  <c r="AA153" i="1"/>
  <c r="Z153" i="1" s="1"/>
  <c r="AB153" i="1"/>
  <c r="AC153" i="1"/>
  <c r="AA154" i="1"/>
  <c r="Z154" i="1" s="1"/>
  <c r="AB154" i="1"/>
  <c r="AC154" i="1"/>
  <c r="AA155" i="1"/>
  <c r="Z155" i="1" s="1"/>
  <c r="AB155" i="1"/>
  <c r="AC155" i="1"/>
  <c r="AA156" i="1"/>
  <c r="Z156" i="1" s="1"/>
  <c r="AB156" i="1"/>
  <c r="AC156" i="1"/>
  <c r="AA157" i="1"/>
  <c r="AB157" i="1"/>
  <c r="Z157" i="1" s="1"/>
  <c r="AC157" i="1"/>
  <c r="AA158" i="1"/>
  <c r="Z158" i="1" s="1"/>
  <c r="AB158" i="1"/>
  <c r="AC158" i="1"/>
  <c r="AA159" i="1"/>
  <c r="Z159" i="1" s="1"/>
  <c r="AB159" i="1"/>
  <c r="AC159" i="1"/>
  <c r="AA160" i="1"/>
  <c r="Z160" i="1" s="1"/>
  <c r="AB160" i="1"/>
  <c r="AC160" i="1"/>
  <c r="AA161" i="1"/>
  <c r="Z161" i="1" s="1"/>
  <c r="AB161" i="1"/>
  <c r="AC161" i="1"/>
  <c r="AA162" i="1"/>
  <c r="Z162" i="1" s="1"/>
  <c r="AB162" i="1"/>
  <c r="AC162" i="1"/>
  <c r="AA163" i="1"/>
  <c r="Z163" i="1" s="1"/>
  <c r="AB163" i="1"/>
  <c r="AC163" i="1"/>
  <c r="AA164" i="1"/>
  <c r="Z164" i="1" s="1"/>
  <c r="AB164" i="1"/>
  <c r="AC164" i="1"/>
  <c r="AA165" i="1"/>
  <c r="Z165" i="1" s="1"/>
  <c r="AB165" i="1"/>
  <c r="AC165" i="1"/>
  <c r="AA166" i="1"/>
  <c r="Z166" i="1" s="1"/>
  <c r="AB166" i="1"/>
  <c r="AC166" i="1"/>
  <c r="AA167" i="1"/>
  <c r="Z167" i="1" s="1"/>
  <c r="AB167" i="1"/>
  <c r="AC167" i="1"/>
  <c r="AA168" i="1"/>
  <c r="AB168" i="1"/>
  <c r="AC168" i="1"/>
  <c r="Z168" i="1" s="1"/>
  <c r="AA169" i="1"/>
  <c r="AB169" i="1"/>
  <c r="Z169" i="1" s="1"/>
  <c r="AC169" i="1"/>
  <c r="AA170" i="1"/>
  <c r="Z170" i="1" s="1"/>
  <c r="AB170" i="1"/>
  <c r="AC170" i="1"/>
  <c r="AA171" i="1"/>
  <c r="Z171" i="1" s="1"/>
  <c r="AB171" i="1"/>
  <c r="AC171" i="1"/>
  <c r="AA172" i="1"/>
  <c r="Z172" i="1" s="1"/>
  <c r="AB172" i="1"/>
  <c r="AC172" i="1"/>
  <c r="AA173" i="1"/>
  <c r="Z173" i="1" s="1"/>
  <c r="AB173" i="1"/>
  <c r="AC173" i="1"/>
  <c r="AA174" i="1"/>
  <c r="Z174" i="1" s="1"/>
  <c r="AB174" i="1"/>
  <c r="AC174" i="1"/>
  <c r="AA175" i="1"/>
  <c r="Z175" i="1" s="1"/>
  <c r="AB175" i="1"/>
  <c r="AC175" i="1"/>
  <c r="AA176" i="1"/>
  <c r="Z176" i="1" s="1"/>
  <c r="AB176" i="1"/>
  <c r="AC176" i="1"/>
  <c r="AA177" i="1"/>
  <c r="Z177" i="1" s="1"/>
  <c r="AB177" i="1"/>
  <c r="AC177" i="1"/>
  <c r="AA178" i="1"/>
  <c r="Z178" i="1" s="1"/>
  <c r="AB178" i="1"/>
  <c r="AC178" i="1"/>
  <c r="AA179" i="1"/>
  <c r="Z179" i="1" s="1"/>
  <c r="AB179" i="1"/>
  <c r="AC179" i="1"/>
  <c r="AA180" i="1"/>
  <c r="Z180" i="1" s="1"/>
  <c r="AB180" i="1"/>
  <c r="AC180" i="1"/>
  <c r="AA181" i="1"/>
  <c r="AB181" i="1"/>
  <c r="Z181" i="1" s="1"/>
  <c r="AC181" i="1"/>
  <c r="AA182" i="1"/>
  <c r="Z182" i="1" s="1"/>
  <c r="AB182" i="1"/>
  <c r="AC182" i="1"/>
  <c r="AA183" i="1"/>
  <c r="Z183" i="1" s="1"/>
  <c r="AB183" i="1"/>
  <c r="AC183" i="1"/>
  <c r="AA184" i="1"/>
  <c r="Z184" i="1" s="1"/>
  <c r="AB184" i="1"/>
  <c r="AC184" i="1"/>
  <c r="AA185" i="1"/>
  <c r="Z185" i="1" s="1"/>
  <c r="AB185" i="1"/>
  <c r="AC185" i="1"/>
  <c r="AA186" i="1"/>
  <c r="Z186" i="1" s="1"/>
  <c r="AB186" i="1"/>
  <c r="AC186" i="1"/>
  <c r="AA187" i="1"/>
  <c r="Z187" i="1" s="1"/>
  <c r="AB187" i="1"/>
  <c r="AC187" i="1"/>
  <c r="AA188" i="1"/>
  <c r="Z188" i="1" s="1"/>
  <c r="AB188" i="1"/>
  <c r="AC188" i="1"/>
  <c r="AA189" i="1"/>
  <c r="Z189" i="1" s="1"/>
  <c r="AB189" i="1"/>
  <c r="AC189" i="1"/>
  <c r="AA190" i="1"/>
  <c r="Z190" i="1" s="1"/>
  <c r="AB190" i="1"/>
  <c r="AC190" i="1"/>
  <c r="AA191" i="1"/>
  <c r="Z191" i="1" s="1"/>
  <c r="AB191" i="1"/>
  <c r="AC191" i="1"/>
  <c r="AA192" i="1"/>
  <c r="Z192" i="1" s="1"/>
  <c r="AB192" i="1"/>
  <c r="AC192" i="1"/>
  <c r="AA193" i="1"/>
  <c r="Z193" i="1" s="1"/>
  <c r="AB193" i="1"/>
  <c r="AC193" i="1"/>
  <c r="AA194" i="1"/>
  <c r="Z194" i="1" s="1"/>
  <c r="AB194" i="1"/>
  <c r="AC194" i="1"/>
  <c r="AA195" i="1"/>
  <c r="Z195" i="1" s="1"/>
  <c r="AB195" i="1"/>
  <c r="AC195" i="1"/>
  <c r="AA196" i="1"/>
  <c r="Z196" i="1" s="1"/>
  <c r="AB196" i="1"/>
  <c r="AC196" i="1"/>
  <c r="AA197" i="1"/>
  <c r="Z197" i="1" s="1"/>
  <c r="AB197" i="1"/>
  <c r="AC197" i="1"/>
  <c r="AA198" i="1"/>
  <c r="Z198" i="1" s="1"/>
  <c r="AB198" i="1"/>
  <c r="AC198" i="1"/>
  <c r="AA199" i="1"/>
  <c r="Z199" i="1" s="1"/>
  <c r="AB199" i="1"/>
  <c r="AC199" i="1"/>
  <c r="AA200" i="1"/>
  <c r="Z200" i="1" s="1"/>
  <c r="AB200" i="1"/>
  <c r="AC200" i="1"/>
  <c r="AA201" i="1"/>
  <c r="AB201" i="1"/>
  <c r="Z201" i="1" s="1"/>
  <c r="AC201" i="1"/>
  <c r="AA202" i="1"/>
  <c r="Z202" i="1" s="1"/>
  <c r="AB202" i="1"/>
  <c r="AC202" i="1"/>
  <c r="AA203" i="1"/>
  <c r="Z203" i="1" s="1"/>
  <c r="AB203" i="1"/>
  <c r="AC203" i="1"/>
  <c r="AA204" i="1"/>
  <c r="Z204" i="1" s="1"/>
  <c r="AB204" i="1"/>
  <c r="AC204" i="1"/>
  <c r="AA205" i="1"/>
  <c r="Z205" i="1" s="1"/>
  <c r="AB205" i="1"/>
  <c r="AC205" i="1"/>
  <c r="AA206" i="1"/>
  <c r="Z206" i="1" s="1"/>
  <c r="AB206" i="1"/>
  <c r="AC206" i="1"/>
  <c r="AA207" i="1"/>
  <c r="Z207" i="1" s="1"/>
  <c r="AB207" i="1"/>
  <c r="AC207" i="1"/>
  <c r="AA208" i="1"/>
  <c r="Z208" i="1" s="1"/>
  <c r="AB208" i="1"/>
  <c r="AC208" i="1"/>
  <c r="AA209" i="1"/>
  <c r="Z209" i="1" s="1"/>
  <c r="AB209" i="1"/>
  <c r="AC209" i="1"/>
  <c r="AA210" i="1"/>
  <c r="Z210" i="1" s="1"/>
  <c r="AB210" i="1"/>
  <c r="AC210" i="1"/>
  <c r="Z211" i="1"/>
  <c r="AA211" i="1"/>
  <c r="AB211" i="1"/>
  <c r="AC211" i="1"/>
  <c r="AA212" i="1"/>
  <c r="Z212" i="1" s="1"/>
  <c r="AB212" i="1"/>
  <c r="AC212" i="1"/>
  <c r="AA213" i="1"/>
  <c r="Z213" i="1" s="1"/>
  <c r="AB213" i="1"/>
  <c r="AC213" i="1"/>
  <c r="AA214" i="1"/>
  <c r="Z214" i="1" s="1"/>
  <c r="AB214" i="1"/>
  <c r="AC214" i="1"/>
  <c r="AA215" i="1"/>
  <c r="Z215" i="1" s="1"/>
  <c r="AB215" i="1"/>
  <c r="AC215" i="1"/>
  <c r="AA216" i="1"/>
  <c r="Z216" i="1" s="1"/>
  <c r="AB216" i="1"/>
  <c r="AC216" i="1"/>
  <c r="AA217" i="1"/>
  <c r="Z217" i="1" s="1"/>
  <c r="AB217" i="1"/>
  <c r="AC217" i="1"/>
  <c r="AA218" i="1"/>
  <c r="Z218" i="1" s="1"/>
  <c r="AB218" i="1"/>
  <c r="AC218" i="1"/>
  <c r="AA219" i="1"/>
  <c r="AB219" i="1"/>
  <c r="Z219" i="1" s="1"/>
  <c r="AC219" i="1"/>
  <c r="AA220" i="1"/>
  <c r="Z220" i="1" s="1"/>
  <c r="AB220" i="1"/>
  <c r="AC220" i="1"/>
  <c r="AA221" i="1"/>
  <c r="Z221" i="1" s="1"/>
  <c r="AB221" i="1"/>
  <c r="AC221" i="1"/>
  <c r="AA222" i="1"/>
  <c r="Z222" i="1" s="1"/>
  <c r="AB222" i="1"/>
  <c r="AC222" i="1"/>
  <c r="AA223" i="1"/>
  <c r="Z223" i="1" s="1"/>
  <c r="AB223" i="1"/>
  <c r="AC223" i="1"/>
  <c r="Z224" i="1"/>
  <c r="AA224" i="1"/>
  <c r="AB224" i="1"/>
  <c r="AC224" i="1"/>
  <c r="AA225" i="1"/>
  <c r="Z225" i="1" s="1"/>
  <c r="AB225" i="1"/>
  <c r="AC225" i="1"/>
  <c r="AA226" i="1"/>
  <c r="Z226" i="1" s="1"/>
  <c r="AB226" i="1"/>
  <c r="AC226" i="1"/>
  <c r="AA227" i="1"/>
  <c r="Z227" i="1" s="1"/>
  <c r="AB227" i="1"/>
  <c r="AC227" i="1"/>
  <c r="AA228" i="1"/>
  <c r="Z228" i="1" s="1"/>
  <c r="AB228" i="1"/>
  <c r="AC228" i="1"/>
  <c r="AA229" i="1"/>
  <c r="Z229" i="1" s="1"/>
  <c r="AB229" i="1"/>
  <c r="AC229" i="1"/>
  <c r="AA230" i="1"/>
  <c r="Z230" i="1" s="1"/>
  <c r="AB230" i="1"/>
  <c r="AC230" i="1"/>
  <c r="AA231" i="1"/>
  <c r="Z231" i="1" s="1"/>
  <c r="AB231" i="1"/>
  <c r="AC231" i="1"/>
  <c r="AA232" i="1"/>
  <c r="Z232" i="1" s="1"/>
  <c r="AB232" i="1"/>
  <c r="AC232" i="1"/>
  <c r="AA233" i="1"/>
  <c r="Z233" i="1" s="1"/>
  <c r="AB233" i="1"/>
  <c r="AC233" i="1"/>
  <c r="AA234" i="1"/>
  <c r="Z234" i="1" s="1"/>
  <c r="AB234" i="1"/>
  <c r="AC234" i="1"/>
  <c r="AA235" i="1"/>
  <c r="Z235" i="1" s="1"/>
  <c r="AB235" i="1"/>
  <c r="AC235" i="1"/>
  <c r="AA236" i="1"/>
  <c r="Z236" i="1" s="1"/>
  <c r="AB236" i="1"/>
  <c r="AC236" i="1"/>
  <c r="AA237" i="1"/>
  <c r="Z237" i="1" s="1"/>
  <c r="AB237" i="1"/>
  <c r="AC237" i="1"/>
  <c r="Z238" i="1"/>
  <c r="AA238" i="1"/>
  <c r="AB238" i="1"/>
  <c r="AC238" i="1"/>
  <c r="AA239" i="1"/>
  <c r="Z239" i="1" s="1"/>
  <c r="AB239" i="1"/>
  <c r="AC239" i="1"/>
  <c r="AA240" i="1"/>
  <c r="Z240" i="1" s="1"/>
  <c r="AB240" i="1"/>
  <c r="AC240" i="1"/>
  <c r="AA241" i="1"/>
  <c r="Z241" i="1" s="1"/>
  <c r="AB241" i="1"/>
  <c r="AC241" i="1"/>
  <c r="AA242" i="1"/>
  <c r="Z242" i="1" s="1"/>
  <c r="AB242" i="1"/>
  <c r="AC242" i="1"/>
  <c r="AA243" i="1"/>
  <c r="Z243" i="1" s="1"/>
  <c r="AB243" i="1"/>
  <c r="AC243" i="1"/>
  <c r="AA244" i="1"/>
  <c r="Z244" i="1" s="1"/>
  <c r="AB244" i="1"/>
  <c r="AC244" i="1"/>
  <c r="AA245" i="1"/>
  <c r="AB245" i="1"/>
  <c r="AC245" i="1"/>
  <c r="Z245" i="1" s="1"/>
  <c r="AA246" i="1"/>
  <c r="Z246" i="1" s="1"/>
  <c r="AB246" i="1"/>
  <c r="AC246" i="1"/>
  <c r="AA247" i="1"/>
  <c r="Z247" i="1" s="1"/>
  <c r="AB247" i="1"/>
  <c r="AC247" i="1"/>
  <c r="AC3" i="1"/>
  <c r="AB3" i="1"/>
  <c r="Z3" i="1" s="1"/>
  <c r="AA3" i="1"/>
  <c r="W247" i="1"/>
  <c r="O250" i="1"/>
  <c r="M250" i="1"/>
  <c r="K250" i="1"/>
  <c r="I250" i="1"/>
  <c r="G250" i="1"/>
  <c r="E250" i="1"/>
  <c r="C250" i="1"/>
  <c r="O249" i="1"/>
  <c r="M249" i="1"/>
  <c r="K249" i="1"/>
  <c r="I249" i="1"/>
  <c r="G249" i="1"/>
  <c r="E249" i="1"/>
  <c r="C249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S3" i="1"/>
  <c r="S4" i="1"/>
  <c r="W4" i="1" s="1"/>
  <c r="S5" i="1"/>
  <c r="W5" i="1" s="1"/>
  <c r="S6" i="1"/>
  <c r="W6" i="1" s="1"/>
  <c r="S7" i="1"/>
  <c r="W7" i="1" s="1"/>
  <c r="S8" i="1"/>
  <c r="W8" i="1" s="1"/>
  <c r="S9" i="1"/>
  <c r="W9" i="1" s="1"/>
  <c r="S10" i="1"/>
  <c r="W10" i="1" s="1"/>
  <c r="S11" i="1"/>
  <c r="W11" i="1" s="1"/>
  <c r="S12" i="1"/>
  <c r="W12" i="1" s="1"/>
  <c r="S13" i="1"/>
  <c r="W13" i="1" s="1"/>
  <c r="S14" i="1"/>
  <c r="W14" i="1" s="1"/>
  <c r="S15" i="1"/>
  <c r="W15" i="1" s="1"/>
  <c r="S16" i="1"/>
  <c r="W16" i="1" s="1"/>
  <c r="S17" i="1"/>
  <c r="W17" i="1" s="1"/>
  <c r="S18" i="1"/>
  <c r="W18" i="1" s="1"/>
  <c r="S19" i="1"/>
  <c r="W19" i="1" s="1"/>
  <c r="S20" i="1"/>
  <c r="W20" i="1" s="1"/>
  <c r="S21" i="1"/>
  <c r="W21" i="1" s="1"/>
  <c r="S22" i="1"/>
  <c r="W22" i="1" s="1"/>
  <c r="S23" i="1"/>
  <c r="W23" i="1" s="1"/>
  <c r="S24" i="1"/>
  <c r="W24" i="1" s="1"/>
  <c r="S25" i="1"/>
  <c r="W25" i="1" s="1"/>
  <c r="S26" i="1"/>
  <c r="W26" i="1" s="1"/>
  <c r="S27" i="1"/>
  <c r="W27" i="1" s="1"/>
  <c r="S28" i="1"/>
  <c r="W28" i="1" s="1"/>
  <c r="S29" i="1"/>
  <c r="W29" i="1" s="1"/>
  <c r="S30" i="1"/>
  <c r="W30" i="1" s="1"/>
  <c r="S31" i="1"/>
  <c r="W31" i="1" s="1"/>
  <c r="S32" i="1"/>
  <c r="W32" i="1" s="1"/>
  <c r="S33" i="1"/>
  <c r="W33" i="1" s="1"/>
  <c r="S34" i="1"/>
  <c r="W34" i="1" s="1"/>
  <c r="S35" i="1"/>
  <c r="W35" i="1" s="1"/>
  <c r="S36" i="1"/>
  <c r="W36" i="1" s="1"/>
  <c r="S37" i="1"/>
  <c r="W37" i="1" s="1"/>
  <c r="S38" i="1"/>
  <c r="W38" i="1" s="1"/>
  <c r="S39" i="1"/>
  <c r="W39" i="1" s="1"/>
  <c r="S40" i="1"/>
  <c r="W40" i="1" s="1"/>
  <c r="S41" i="1"/>
  <c r="W41" i="1" s="1"/>
  <c r="S42" i="1"/>
  <c r="W42" i="1" s="1"/>
  <c r="S43" i="1"/>
  <c r="W43" i="1" s="1"/>
  <c r="S44" i="1"/>
  <c r="W44" i="1" s="1"/>
  <c r="S45" i="1"/>
  <c r="W45" i="1" s="1"/>
  <c r="S46" i="1"/>
  <c r="W46" i="1" s="1"/>
  <c r="S47" i="1"/>
  <c r="W47" i="1" s="1"/>
  <c r="S48" i="1"/>
  <c r="W48" i="1" s="1"/>
  <c r="S49" i="1"/>
  <c r="W49" i="1" s="1"/>
  <c r="S50" i="1"/>
  <c r="W50" i="1" s="1"/>
  <c r="S51" i="1"/>
  <c r="W51" i="1" s="1"/>
  <c r="S52" i="1"/>
  <c r="W52" i="1" s="1"/>
  <c r="S53" i="1"/>
  <c r="W53" i="1" s="1"/>
  <c r="S54" i="1"/>
  <c r="W54" i="1" s="1"/>
  <c r="S55" i="1"/>
  <c r="W55" i="1" s="1"/>
  <c r="S56" i="1"/>
  <c r="W56" i="1" s="1"/>
  <c r="S57" i="1"/>
  <c r="W57" i="1" s="1"/>
  <c r="S58" i="1"/>
  <c r="W58" i="1" s="1"/>
  <c r="S59" i="1"/>
  <c r="W59" i="1" s="1"/>
  <c r="S60" i="1"/>
  <c r="W60" i="1" s="1"/>
  <c r="S61" i="1"/>
  <c r="W61" i="1" s="1"/>
  <c r="S62" i="1"/>
  <c r="W62" i="1" s="1"/>
  <c r="S63" i="1"/>
  <c r="W63" i="1" s="1"/>
  <c r="S64" i="1"/>
  <c r="W64" i="1" s="1"/>
  <c r="S65" i="1"/>
  <c r="W65" i="1" s="1"/>
  <c r="S66" i="1"/>
  <c r="W66" i="1" s="1"/>
  <c r="S67" i="1"/>
  <c r="W67" i="1" s="1"/>
  <c r="S68" i="1"/>
  <c r="W68" i="1" s="1"/>
  <c r="S69" i="1"/>
  <c r="W69" i="1" s="1"/>
  <c r="S70" i="1"/>
  <c r="W70" i="1" s="1"/>
  <c r="S71" i="1"/>
  <c r="W71" i="1" s="1"/>
  <c r="S72" i="1"/>
  <c r="W72" i="1" s="1"/>
  <c r="S73" i="1"/>
  <c r="W73" i="1" s="1"/>
  <c r="S74" i="1"/>
  <c r="W74" i="1" s="1"/>
  <c r="S75" i="1"/>
  <c r="W75" i="1" s="1"/>
  <c r="S76" i="1"/>
  <c r="W76" i="1" s="1"/>
  <c r="S77" i="1"/>
  <c r="W77" i="1" s="1"/>
  <c r="S78" i="1"/>
  <c r="W78" i="1" s="1"/>
  <c r="S79" i="1"/>
  <c r="W79" i="1" s="1"/>
  <c r="S80" i="1"/>
  <c r="W80" i="1" s="1"/>
  <c r="S81" i="1"/>
  <c r="W81" i="1" s="1"/>
  <c r="S82" i="1"/>
  <c r="W82" i="1" s="1"/>
  <c r="S83" i="1"/>
  <c r="W83" i="1" s="1"/>
  <c r="S84" i="1"/>
  <c r="W84" i="1" s="1"/>
  <c r="S85" i="1"/>
  <c r="W85" i="1" s="1"/>
  <c r="S86" i="1"/>
  <c r="W86" i="1" s="1"/>
  <c r="S87" i="1"/>
  <c r="W87" i="1" s="1"/>
  <c r="S88" i="1"/>
  <c r="W88" i="1" s="1"/>
  <c r="S89" i="1"/>
  <c r="W89" i="1" s="1"/>
  <c r="S90" i="1"/>
  <c r="W90" i="1" s="1"/>
  <c r="S91" i="1"/>
  <c r="W91" i="1" s="1"/>
  <c r="S92" i="1"/>
  <c r="W92" i="1" s="1"/>
  <c r="S93" i="1"/>
  <c r="W93" i="1" s="1"/>
  <c r="S94" i="1"/>
  <c r="W94" i="1" s="1"/>
  <c r="S95" i="1"/>
  <c r="W95" i="1" s="1"/>
  <c r="S96" i="1"/>
  <c r="W96" i="1" s="1"/>
  <c r="S97" i="1"/>
  <c r="W97" i="1" s="1"/>
  <c r="S98" i="1"/>
  <c r="W98" i="1" s="1"/>
  <c r="S99" i="1"/>
  <c r="W99" i="1" s="1"/>
  <c r="S100" i="1"/>
  <c r="W100" i="1" s="1"/>
  <c r="S101" i="1"/>
  <c r="W101" i="1" s="1"/>
  <c r="S102" i="1"/>
  <c r="W102" i="1" s="1"/>
  <c r="S103" i="1"/>
  <c r="W103" i="1" s="1"/>
  <c r="S104" i="1"/>
  <c r="W104" i="1" s="1"/>
  <c r="S105" i="1"/>
  <c r="W105" i="1" s="1"/>
  <c r="S106" i="1"/>
  <c r="W106" i="1" s="1"/>
  <c r="S107" i="1"/>
  <c r="W107" i="1" s="1"/>
  <c r="S108" i="1"/>
  <c r="W108" i="1" s="1"/>
  <c r="S109" i="1"/>
  <c r="W109" i="1" s="1"/>
  <c r="S110" i="1"/>
  <c r="W110" i="1" s="1"/>
  <c r="S111" i="1"/>
  <c r="W111" i="1" s="1"/>
  <c r="S112" i="1"/>
  <c r="W112" i="1" s="1"/>
  <c r="S113" i="1"/>
  <c r="W113" i="1" s="1"/>
  <c r="S114" i="1"/>
  <c r="W114" i="1" s="1"/>
  <c r="S115" i="1"/>
  <c r="W115" i="1" s="1"/>
  <c r="S116" i="1"/>
  <c r="W116" i="1" s="1"/>
  <c r="S117" i="1"/>
  <c r="W117" i="1" s="1"/>
  <c r="S118" i="1"/>
  <c r="W118" i="1" s="1"/>
  <c r="S119" i="1"/>
  <c r="W119" i="1" s="1"/>
  <c r="S120" i="1"/>
  <c r="W120" i="1" s="1"/>
  <c r="S121" i="1"/>
  <c r="W121" i="1" s="1"/>
  <c r="S122" i="1"/>
  <c r="W122" i="1" s="1"/>
  <c r="S123" i="1"/>
  <c r="W123" i="1" s="1"/>
  <c r="S124" i="1"/>
  <c r="W124" i="1" s="1"/>
  <c r="S125" i="1"/>
  <c r="W125" i="1" s="1"/>
  <c r="S126" i="1"/>
  <c r="W126" i="1" s="1"/>
  <c r="S127" i="1"/>
  <c r="W127" i="1" s="1"/>
  <c r="S128" i="1"/>
  <c r="W128" i="1" s="1"/>
  <c r="S129" i="1"/>
  <c r="W129" i="1" s="1"/>
  <c r="S130" i="1"/>
  <c r="W130" i="1" s="1"/>
  <c r="S131" i="1"/>
  <c r="W131" i="1" s="1"/>
  <c r="S132" i="1"/>
  <c r="W132" i="1" s="1"/>
  <c r="S133" i="1"/>
  <c r="W133" i="1" s="1"/>
  <c r="S134" i="1"/>
  <c r="W134" i="1" s="1"/>
  <c r="S135" i="1"/>
  <c r="W135" i="1" s="1"/>
  <c r="S136" i="1"/>
  <c r="W136" i="1" s="1"/>
  <c r="S137" i="1"/>
  <c r="W137" i="1" s="1"/>
  <c r="S138" i="1"/>
  <c r="W138" i="1" s="1"/>
  <c r="S139" i="1"/>
  <c r="W139" i="1" s="1"/>
  <c r="S140" i="1"/>
  <c r="W140" i="1" s="1"/>
  <c r="S141" i="1"/>
  <c r="W141" i="1" s="1"/>
  <c r="S142" i="1"/>
  <c r="W142" i="1" s="1"/>
  <c r="S143" i="1"/>
  <c r="W143" i="1" s="1"/>
  <c r="S144" i="1"/>
  <c r="W144" i="1" s="1"/>
  <c r="S145" i="1"/>
  <c r="W145" i="1" s="1"/>
  <c r="S146" i="1"/>
  <c r="W146" i="1" s="1"/>
  <c r="S147" i="1"/>
  <c r="W147" i="1" s="1"/>
  <c r="S148" i="1"/>
  <c r="W148" i="1" s="1"/>
  <c r="S149" i="1"/>
  <c r="W149" i="1" s="1"/>
  <c r="S150" i="1"/>
  <c r="W150" i="1" s="1"/>
  <c r="S151" i="1"/>
  <c r="W151" i="1" s="1"/>
  <c r="S152" i="1"/>
  <c r="W152" i="1" s="1"/>
  <c r="S153" i="1"/>
  <c r="W153" i="1" s="1"/>
  <c r="S154" i="1"/>
  <c r="W154" i="1" s="1"/>
  <c r="S155" i="1"/>
  <c r="W155" i="1" s="1"/>
  <c r="S156" i="1"/>
  <c r="W156" i="1" s="1"/>
  <c r="S157" i="1"/>
  <c r="W157" i="1" s="1"/>
  <c r="S158" i="1"/>
  <c r="W158" i="1" s="1"/>
  <c r="S159" i="1"/>
  <c r="W159" i="1" s="1"/>
  <c r="S160" i="1"/>
  <c r="W160" i="1" s="1"/>
  <c r="S161" i="1"/>
  <c r="W161" i="1" s="1"/>
  <c r="S162" i="1"/>
  <c r="W162" i="1" s="1"/>
  <c r="S163" i="1"/>
  <c r="W163" i="1" s="1"/>
  <c r="S164" i="1"/>
  <c r="W164" i="1" s="1"/>
  <c r="S165" i="1"/>
  <c r="W165" i="1" s="1"/>
  <c r="S166" i="1"/>
  <c r="W166" i="1" s="1"/>
  <c r="S167" i="1"/>
  <c r="W167" i="1" s="1"/>
  <c r="S168" i="1"/>
  <c r="W168" i="1" s="1"/>
  <c r="S169" i="1"/>
  <c r="W169" i="1" s="1"/>
  <c r="S170" i="1"/>
  <c r="W170" i="1" s="1"/>
  <c r="S171" i="1"/>
  <c r="W171" i="1" s="1"/>
  <c r="S172" i="1"/>
  <c r="W172" i="1" s="1"/>
  <c r="S173" i="1"/>
  <c r="W173" i="1" s="1"/>
  <c r="S174" i="1"/>
  <c r="W174" i="1" s="1"/>
  <c r="S175" i="1"/>
  <c r="W175" i="1" s="1"/>
  <c r="S176" i="1"/>
  <c r="W176" i="1" s="1"/>
  <c r="S177" i="1"/>
  <c r="W177" i="1" s="1"/>
  <c r="S178" i="1"/>
  <c r="W178" i="1" s="1"/>
  <c r="S179" i="1"/>
  <c r="W179" i="1" s="1"/>
  <c r="S180" i="1"/>
  <c r="W180" i="1" s="1"/>
  <c r="S181" i="1"/>
  <c r="W181" i="1" s="1"/>
  <c r="S182" i="1"/>
  <c r="W182" i="1" s="1"/>
  <c r="S183" i="1"/>
  <c r="W183" i="1" s="1"/>
  <c r="S184" i="1"/>
  <c r="W184" i="1" s="1"/>
  <c r="S185" i="1"/>
  <c r="W185" i="1" s="1"/>
  <c r="S186" i="1"/>
  <c r="W186" i="1" s="1"/>
  <c r="S187" i="1"/>
  <c r="W187" i="1" s="1"/>
  <c r="S188" i="1"/>
  <c r="W188" i="1" s="1"/>
  <c r="S189" i="1"/>
  <c r="W189" i="1" s="1"/>
  <c r="S190" i="1"/>
  <c r="W190" i="1" s="1"/>
  <c r="S191" i="1"/>
  <c r="W191" i="1" s="1"/>
  <c r="S192" i="1"/>
  <c r="W192" i="1" s="1"/>
  <c r="S193" i="1"/>
  <c r="W193" i="1" s="1"/>
  <c r="S194" i="1"/>
  <c r="W194" i="1" s="1"/>
  <c r="S195" i="1"/>
  <c r="W195" i="1" s="1"/>
  <c r="S196" i="1"/>
  <c r="W196" i="1" s="1"/>
  <c r="S197" i="1"/>
  <c r="W197" i="1" s="1"/>
  <c r="S198" i="1"/>
  <c r="W198" i="1" s="1"/>
  <c r="S199" i="1"/>
  <c r="W199" i="1" s="1"/>
  <c r="S200" i="1"/>
  <c r="W200" i="1" s="1"/>
  <c r="S201" i="1"/>
  <c r="W201" i="1" s="1"/>
  <c r="S202" i="1"/>
  <c r="W202" i="1" s="1"/>
  <c r="S203" i="1"/>
  <c r="W203" i="1" s="1"/>
  <c r="S204" i="1"/>
  <c r="W204" i="1" s="1"/>
  <c r="S205" i="1"/>
  <c r="W205" i="1" s="1"/>
  <c r="S206" i="1"/>
  <c r="W206" i="1" s="1"/>
  <c r="S207" i="1"/>
  <c r="W207" i="1" s="1"/>
  <c r="S208" i="1"/>
  <c r="W208" i="1" s="1"/>
  <c r="S209" i="1"/>
  <c r="W209" i="1" s="1"/>
  <c r="S210" i="1"/>
  <c r="W210" i="1" s="1"/>
  <c r="S211" i="1"/>
  <c r="W211" i="1" s="1"/>
  <c r="S212" i="1"/>
  <c r="W212" i="1" s="1"/>
  <c r="S213" i="1"/>
  <c r="W213" i="1" s="1"/>
  <c r="S214" i="1"/>
  <c r="W214" i="1" s="1"/>
  <c r="S215" i="1"/>
  <c r="W215" i="1" s="1"/>
  <c r="S216" i="1"/>
  <c r="W216" i="1" s="1"/>
  <c r="S217" i="1"/>
  <c r="W217" i="1" s="1"/>
  <c r="S218" i="1"/>
  <c r="W218" i="1" s="1"/>
  <c r="S219" i="1"/>
  <c r="W219" i="1" s="1"/>
  <c r="S220" i="1"/>
  <c r="W220" i="1" s="1"/>
  <c r="S221" i="1"/>
  <c r="W221" i="1" s="1"/>
  <c r="S222" i="1"/>
  <c r="W222" i="1" s="1"/>
  <c r="S223" i="1"/>
  <c r="W223" i="1" s="1"/>
  <c r="S224" i="1"/>
  <c r="W224" i="1" s="1"/>
  <c r="S225" i="1"/>
  <c r="W225" i="1" s="1"/>
  <c r="S226" i="1"/>
  <c r="W226" i="1" s="1"/>
  <c r="S227" i="1"/>
  <c r="W227" i="1" s="1"/>
  <c r="S228" i="1"/>
  <c r="W228" i="1" s="1"/>
  <c r="S229" i="1"/>
  <c r="W229" i="1" s="1"/>
  <c r="S230" i="1"/>
  <c r="W230" i="1" s="1"/>
  <c r="S231" i="1"/>
  <c r="W231" i="1" s="1"/>
  <c r="S232" i="1"/>
  <c r="W232" i="1" s="1"/>
  <c r="S233" i="1"/>
  <c r="W233" i="1" s="1"/>
  <c r="S234" i="1"/>
  <c r="W234" i="1" s="1"/>
  <c r="S235" i="1"/>
  <c r="W235" i="1" s="1"/>
  <c r="S236" i="1"/>
  <c r="W236" i="1" s="1"/>
  <c r="S237" i="1"/>
  <c r="W237" i="1" s="1"/>
  <c r="S238" i="1"/>
  <c r="W238" i="1" s="1"/>
  <c r="S239" i="1"/>
  <c r="W239" i="1" s="1"/>
  <c r="S240" i="1"/>
  <c r="W240" i="1" s="1"/>
  <c r="S241" i="1"/>
  <c r="W241" i="1" s="1"/>
  <c r="S242" i="1"/>
  <c r="W242" i="1" s="1"/>
  <c r="S243" i="1"/>
  <c r="W243" i="1" s="1"/>
  <c r="S244" i="1"/>
  <c r="W244" i="1" s="1"/>
  <c r="S245" i="1"/>
  <c r="W245" i="1" s="1"/>
  <c r="S246" i="1"/>
  <c r="W246" i="1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46" i="1"/>
  <c r="B3" i="5" s="1" a="1"/>
  <c r="B2" i="5" a="1"/>
  <c r="C2" i="5" a="1"/>
  <c r="D2" i="5" a="1"/>
  <c r="E2" i="5" a="1"/>
  <c r="B4" i="5" a="1"/>
  <c r="C4" i="5" a="1"/>
  <c r="D4" i="5" a="1"/>
  <c r="E4" i="5" a="1"/>
  <c r="B6" i="5" a="1"/>
  <c r="C6" i="5" a="1"/>
  <c r="D6" i="5" a="1"/>
  <c r="E6" i="5" a="1"/>
  <c r="B7" i="5" a="1"/>
  <c r="C7" i="5" a="1"/>
  <c r="D7" i="5" a="1"/>
  <c r="E7" i="5" a="1"/>
  <c r="B8" i="5" a="1"/>
  <c r="C8" i="5" a="1"/>
  <c r="D8" i="5" a="1"/>
  <c r="E8" i="5" a="1"/>
  <c r="B9" i="5" a="1"/>
  <c r="C9" i="5" a="1"/>
  <c r="D9" i="5" a="1"/>
  <c r="E9" i="5" a="1"/>
  <c r="B10" i="5" a="1"/>
  <c r="C10" i="5" a="1"/>
  <c r="D10" i="5" a="1"/>
  <c r="E10" i="5" a="1"/>
  <c r="B11" i="5" a="1"/>
  <c r="C11" i="5" a="1"/>
  <c r="D11" i="5" a="1"/>
  <c r="E11" i="5" a="1"/>
  <c r="B12" i="5" a="1"/>
  <c r="C12" i="5" a="1"/>
  <c r="D12" i="5" a="1"/>
  <c r="E12" i="5" a="1"/>
  <c r="A2" i="5" a="1"/>
  <c r="B304" i="3"/>
  <c r="C304" i="3"/>
  <c r="D304" i="3"/>
  <c r="E304" i="3"/>
  <c r="F304" i="3"/>
  <c r="G304" i="3"/>
  <c r="H304" i="3"/>
  <c r="I304" i="3"/>
  <c r="J304" i="3"/>
  <c r="K304" i="3"/>
  <c r="L304" i="3"/>
  <c r="L303" i="3"/>
  <c r="K303" i="3"/>
  <c r="J303" i="3"/>
  <c r="I303" i="3"/>
  <c r="H303" i="3"/>
  <c r="G303" i="3"/>
  <c r="F303" i="3"/>
  <c r="E303" i="3"/>
  <c r="D303" i="3"/>
  <c r="C303" i="3"/>
  <c r="B303" i="3"/>
  <c r="L302" i="3"/>
  <c r="K302" i="3"/>
  <c r="J302" i="3"/>
  <c r="I302" i="3"/>
  <c r="H302" i="3"/>
  <c r="G302" i="3"/>
  <c r="F302" i="3"/>
  <c r="E302" i="3"/>
  <c r="D302" i="3"/>
  <c r="C302" i="3"/>
  <c r="B302" i="3"/>
  <c r="L301" i="3"/>
  <c r="K301" i="3"/>
  <c r="J301" i="3"/>
  <c r="I301" i="3"/>
  <c r="H301" i="3"/>
  <c r="G301" i="3"/>
  <c r="F301" i="3"/>
  <c r="E301" i="3"/>
  <c r="D301" i="3"/>
  <c r="C301" i="3"/>
  <c r="B301" i="3"/>
  <c r="L300" i="3"/>
  <c r="K300" i="3"/>
  <c r="J300" i="3"/>
  <c r="I300" i="3"/>
  <c r="H300" i="3"/>
  <c r="G300" i="3"/>
  <c r="F300" i="3"/>
  <c r="E300" i="3"/>
  <c r="D300" i="3"/>
  <c r="C300" i="3"/>
  <c r="B300" i="3"/>
  <c r="L299" i="3"/>
  <c r="K299" i="3"/>
  <c r="J299" i="3"/>
  <c r="I299" i="3"/>
  <c r="H299" i="3"/>
  <c r="G299" i="3"/>
  <c r="F299" i="3"/>
  <c r="E299" i="3"/>
  <c r="D299" i="3"/>
  <c r="C299" i="3"/>
  <c r="B299" i="3"/>
  <c r="L298" i="3"/>
  <c r="K298" i="3"/>
  <c r="J298" i="3"/>
  <c r="I298" i="3"/>
  <c r="H298" i="3"/>
  <c r="G298" i="3"/>
  <c r="F298" i="3"/>
  <c r="E298" i="3"/>
  <c r="D298" i="3"/>
  <c r="C298" i="3"/>
  <c r="B298" i="3"/>
  <c r="L297" i="3"/>
  <c r="K297" i="3"/>
  <c r="J297" i="3"/>
  <c r="I297" i="3"/>
  <c r="H297" i="3"/>
  <c r="G297" i="3"/>
  <c r="F297" i="3"/>
  <c r="E297" i="3"/>
  <c r="D297" i="3"/>
  <c r="C297" i="3"/>
  <c r="B297" i="3"/>
  <c r="L296" i="3"/>
  <c r="K296" i="3"/>
  <c r="J296" i="3"/>
  <c r="I296" i="3"/>
  <c r="H296" i="3"/>
  <c r="G296" i="3"/>
  <c r="F296" i="3"/>
  <c r="E296" i="3"/>
  <c r="D296" i="3"/>
  <c r="C296" i="3"/>
  <c r="B296" i="3"/>
  <c r="L295" i="3"/>
  <c r="K295" i="3"/>
  <c r="J295" i="3"/>
  <c r="I295" i="3"/>
  <c r="H295" i="3"/>
  <c r="G295" i="3"/>
  <c r="F295" i="3"/>
  <c r="E295" i="3"/>
  <c r="D295" i="3"/>
  <c r="C295" i="3"/>
  <c r="B295" i="3"/>
  <c r="L294" i="3"/>
  <c r="K294" i="3"/>
  <c r="J294" i="3"/>
  <c r="I294" i="3"/>
  <c r="H294" i="3"/>
  <c r="G294" i="3"/>
  <c r="F294" i="3"/>
  <c r="E294" i="3"/>
  <c r="D294" i="3"/>
  <c r="C294" i="3"/>
  <c r="B294" i="3"/>
  <c r="L293" i="3"/>
  <c r="K293" i="3"/>
  <c r="J293" i="3"/>
  <c r="I293" i="3"/>
  <c r="H293" i="3"/>
  <c r="G293" i="3"/>
  <c r="F293" i="3"/>
  <c r="E293" i="3"/>
  <c r="D293" i="3"/>
  <c r="C293" i="3"/>
  <c r="B293" i="3"/>
  <c r="L292" i="3"/>
  <c r="K292" i="3"/>
  <c r="J292" i="3"/>
  <c r="I292" i="3"/>
  <c r="H292" i="3"/>
  <c r="G292" i="3"/>
  <c r="F292" i="3"/>
  <c r="E292" i="3"/>
  <c r="D292" i="3"/>
  <c r="C292" i="3"/>
  <c r="B292" i="3"/>
  <c r="L291" i="3"/>
  <c r="K291" i="3"/>
  <c r="J291" i="3"/>
  <c r="I291" i="3"/>
  <c r="H291" i="3"/>
  <c r="G291" i="3"/>
  <c r="F291" i="3"/>
  <c r="E291" i="3"/>
  <c r="D291" i="3"/>
  <c r="C291" i="3"/>
  <c r="B291" i="3"/>
  <c r="L290" i="3"/>
  <c r="K290" i="3"/>
  <c r="J290" i="3"/>
  <c r="I290" i="3"/>
  <c r="H290" i="3"/>
  <c r="G290" i="3"/>
  <c r="F290" i="3"/>
  <c r="E290" i="3"/>
  <c r="D290" i="3"/>
  <c r="C290" i="3"/>
  <c r="B290" i="3"/>
  <c r="L289" i="3"/>
  <c r="K289" i="3"/>
  <c r="J289" i="3"/>
  <c r="I289" i="3"/>
  <c r="H289" i="3"/>
  <c r="G289" i="3"/>
  <c r="F289" i="3"/>
  <c r="E289" i="3"/>
  <c r="D289" i="3"/>
  <c r="C289" i="3"/>
  <c r="B289" i="3"/>
  <c r="L288" i="3"/>
  <c r="K288" i="3"/>
  <c r="J288" i="3"/>
  <c r="I288" i="3"/>
  <c r="H288" i="3"/>
  <c r="G288" i="3"/>
  <c r="F288" i="3"/>
  <c r="E288" i="3"/>
  <c r="D288" i="3"/>
  <c r="C288" i="3"/>
  <c r="B288" i="3"/>
  <c r="L287" i="3"/>
  <c r="K287" i="3"/>
  <c r="J287" i="3"/>
  <c r="I287" i="3"/>
  <c r="H287" i="3"/>
  <c r="G287" i="3"/>
  <c r="F287" i="3"/>
  <c r="E287" i="3"/>
  <c r="D287" i="3"/>
  <c r="C287" i="3"/>
  <c r="B287" i="3"/>
  <c r="L286" i="3"/>
  <c r="K286" i="3"/>
  <c r="J286" i="3"/>
  <c r="I286" i="3"/>
  <c r="H286" i="3"/>
  <c r="G286" i="3"/>
  <c r="F286" i="3"/>
  <c r="E286" i="3"/>
  <c r="D286" i="3"/>
  <c r="C286" i="3"/>
  <c r="B286" i="3"/>
  <c r="L285" i="3"/>
  <c r="K285" i="3"/>
  <c r="J285" i="3"/>
  <c r="I285" i="3"/>
  <c r="H285" i="3"/>
  <c r="G285" i="3"/>
  <c r="F285" i="3"/>
  <c r="E285" i="3"/>
  <c r="D285" i="3"/>
  <c r="C285" i="3"/>
  <c r="B285" i="3"/>
  <c r="L284" i="3"/>
  <c r="K284" i="3"/>
  <c r="J284" i="3"/>
  <c r="I284" i="3"/>
  <c r="H284" i="3"/>
  <c r="G284" i="3"/>
  <c r="F284" i="3"/>
  <c r="E284" i="3"/>
  <c r="D284" i="3"/>
  <c r="C284" i="3"/>
  <c r="B284" i="3"/>
  <c r="L283" i="3"/>
  <c r="K283" i="3"/>
  <c r="J283" i="3"/>
  <c r="I283" i="3"/>
  <c r="H283" i="3"/>
  <c r="G283" i="3"/>
  <c r="F283" i="3"/>
  <c r="E283" i="3"/>
  <c r="D283" i="3"/>
  <c r="C283" i="3"/>
  <c r="B283" i="3"/>
  <c r="L282" i="3"/>
  <c r="K282" i="3"/>
  <c r="J282" i="3"/>
  <c r="I282" i="3"/>
  <c r="H282" i="3"/>
  <c r="G282" i="3"/>
  <c r="F282" i="3"/>
  <c r="E282" i="3"/>
  <c r="D282" i="3"/>
  <c r="C282" i="3"/>
  <c r="B282" i="3"/>
  <c r="L281" i="3"/>
  <c r="K281" i="3"/>
  <c r="J281" i="3"/>
  <c r="I281" i="3"/>
  <c r="H281" i="3"/>
  <c r="G281" i="3"/>
  <c r="F281" i="3"/>
  <c r="E281" i="3"/>
  <c r="D281" i="3"/>
  <c r="C281" i="3"/>
  <c r="B281" i="3"/>
  <c r="L280" i="3"/>
  <c r="K280" i="3"/>
  <c r="J280" i="3"/>
  <c r="I280" i="3"/>
  <c r="H280" i="3"/>
  <c r="G280" i="3"/>
  <c r="F280" i="3"/>
  <c r="E280" i="3"/>
  <c r="D280" i="3"/>
  <c r="C280" i="3"/>
  <c r="B280" i="3"/>
  <c r="L279" i="3"/>
  <c r="K279" i="3"/>
  <c r="J279" i="3"/>
  <c r="I279" i="3"/>
  <c r="H279" i="3"/>
  <c r="G279" i="3"/>
  <c r="F279" i="3"/>
  <c r="E279" i="3"/>
  <c r="D279" i="3"/>
  <c r="C279" i="3"/>
  <c r="B279" i="3"/>
  <c r="L278" i="3"/>
  <c r="K278" i="3"/>
  <c r="J278" i="3"/>
  <c r="I278" i="3"/>
  <c r="H278" i="3"/>
  <c r="G278" i="3"/>
  <c r="F278" i="3"/>
  <c r="E278" i="3"/>
  <c r="D278" i="3"/>
  <c r="C278" i="3"/>
  <c r="B278" i="3"/>
  <c r="L277" i="3"/>
  <c r="K277" i="3"/>
  <c r="J277" i="3"/>
  <c r="I277" i="3"/>
  <c r="H277" i="3"/>
  <c r="G277" i="3"/>
  <c r="F277" i="3"/>
  <c r="E277" i="3"/>
  <c r="D277" i="3"/>
  <c r="C277" i="3"/>
  <c r="B277" i="3"/>
  <c r="L276" i="3"/>
  <c r="K276" i="3"/>
  <c r="J276" i="3"/>
  <c r="I276" i="3"/>
  <c r="H276" i="3"/>
  <c r="G276" i="3"/>
  <c r="F276" i="3"/>
  <c r="E276" i="3"/>
  <c r="D276" i="3"/>
  <c r="C276" i="3"/>
  <c r="B276" i="3"/>
  <c r="L275" i="3"/>
  <c r="K275" i="3"/>
  <c r="J275" i="3"/>
  <c r="I275" i="3"/>
  <c r="H275" i="3"/>
  <c r="G275" i="3"/>
  <c r="F275" i="3"/>
  <c r="E275" i="3"/>
  <c r="D275" i="3"/>
  <c r="C275" i="3"/>
  <c r="B275" i="3"/>
  <c r="L274" i="3"/>
  <c r="K274" i="3"/>
  <c r="J274" i="3"/>
  <c r="I274" i="3"/>
  <c r="H274" i="3"/>
  <c r="G274" i="3"/>
  <c r="F274" i="3"/>
  <c r="E274" i="3"/>
  <c r="D274" i="3"/>
  <c r="C274" i="3"/>
  <c r="B274" i="3"/>
  <c r="L273" i="3"/>
  <c r="K273" i="3"/>
  <c r="J273" i="3"/>
  <c r="I273" i="3"/>
  <c r="H273" i="3"/>
  <c r="G273" i="3"/>
  <c r="F273" i="3"/>
  <c r="E273" i="3"/>
  <c r="D273" i="3"/>
  <c r="C273" i="3"/>
  <c r="B273" i="3"/>
  <c r="L272" i="3"/>
  <c r="K272" i="3"/>
  <c r="J272" i="3"/>
  <c r="I272" i="3"/>
  <c r="H272" i="3"/>
  <c r="G272" i="3"/>
  <c r="F272" i="3"/>
  <c r="E272" i="3"/>
  <c r="D272" i="3"/>
  <c r="C272" i="3"/>
  <c r="B272" i="3"/>
  <c r="L271" i="3"/>
  <c r="K271" i="3"/>
  <c r="J271" i="3"/>
  <c r="I271" i="3"/>
  <c r="H271" i="3"/>
  <c r="G271" i="3"/>
  <c r="F271" i="3"/>
  <c r="E271" i="3"/>
  <c r="D271" i="3"/>
  <c r="C271" i="3"/>
  <c r="B271" i="3"/>
  <c r="L270" i="3"/>
  <c r="K270" i="3"/>
  <c r="J270" i="3"/>
  <c r="I270" i="3"/>
  <c r="H270" i="3"/>
  <c r="G270" i="3"/>
  <c r="F270" i="3"/>
  <c r="E270" i="3"/>
  <c r="D270" i="3"/>
  <c r="C270" i="3"/>
  <c r="B270" i="3"/>
  <c r="L269" i="3"/>
  <c r="K269" i="3"/>
  <c r="J269" i="3"/>
  <c r="I269" i="3"/>
  <c r="H269" i="3"/>
  <c r="G269" i="3"/>
  <c r="F269" i="3"/>
  <c r="E269" i="3"/>
  <c r="D269" i="3"/>
  <c r="C269" i="3"/>
  <c r="B269" i="3"/>
  <c r="L268" i="3"/>
  <c r="K268" i="3"/>
  <c r="J268" i="3"/>
  <c r="I268" i="3"/>
  <c r="H268" i="3"/>
  <c r="G268" i="3"/>
  <c r="F268" i="3"/>
  <c r="E268" i="3"/>
  <c r="D268" i="3"/>
  <c r="C268" i="3"/>
  <c r="B268" i="3"/>
  <c r="L267" i="3"/>
  <c r="K267" i="3"/>
  <c r="J267" i="3"/>
  <c r="I267" i="3"/>
  <c r="H267" i="3"/>
  <c r="G267" i="3"/>
  <c r="F267" i="3"/>
  <c r="E267" i="3"/>
  <c r="D267" i="3"/>
  <c r="C267" i="3"/>
  <c r="B267" i="3"/>
  <c r="L266" i="3"/>
  <c r="K266" i="3"/>
  <c r="J266" i="3"/>
  <c r="I266" i="3"/>
  <c r="H266" i="3"/>
  <c r="G266" i="3"/>
  <c r="F266" i="3"/>
  <c r="E266" i="3"/>
  <c r="D266" i="3"/>
  <c r="C266" i="3"/>
  <c r="B266" i="3"/>
  <c r="L265" i="3"/>
  <c r="K265" i="3"/>
  <c r="J265" i="3"/>
  <c r="I265" i="3"/>
  <c r="H265" i="3"/>
  <c r="G265" i="3"/>
  <c r="F265" i="3"/>
  <c r="E265" i="3"/>
  <c r="D265" i="3"/>
  <c r="C265" i="3"/>
  <c r="B265" i="3"/>
  <c r="L264" i="3"/>
  <c r="K264" i="3"/>
  <c r="J264" i="3"/>
  <c r="I264" i="3"/>
  <c r="H264" i="3"/>
  <c r="G264" i="3"/>
  <c r="F264" i="3"/>
  <c r="E264" i="3"/>
  <c r="D264" i="3"/>
  <c r="C264" i="3"/>
  <c r="B264" i="3"/>
  <c r="L263" i="3"/>
  <c r="K263" i="3"/>
  <c r="J263" i="3"/>
  <c r="I263" i="3"/>
  <c r="H263" i="3"/>
  <c r="G263" i="3"/>
  <c r="F263" i="3"/>
  <c r="E263" i="3"/>
  <c r="D263" i="3"/>
  <c r="C263" i="3"/>
  <c r="B263" i="3"/>
  <c r="L262" i="3"/>
  <c r="K262" i="3"/>
  <c r="J262" i="3"/>
  <c r="I262" i="3"/>
  <c r="H262" i="3"/>
  <c r="G262" i="3"/>
  <c r="F262" i="3"/>
  <c r="E262" i="3"/>
  <c r="D262" i="3"/>
  <c r="C262" i="3"/>
  <c r="B262" i="3"/>
  <c r="L261" i="3"/>
  <c r="K261" i="3"/>
  <c r="J261" i="3"/>
  <c r="I261" i="3"/>
  <c r="H261" i="3"/>
  <c r="G261" i="3"/>
  <c r="F261" i="3"/>
  <c r="E261" i="3"/>
  <c r="D261" i="3"/>
  <c r="C261" i="3"/>
  <c r="B261" i="3"/>
  <c r="L260" i="3"/>
  <c r="K260" i="3"/>
  <c r="J260" i="3"/>
  <c r="I260" i="3"/>
  <c r="H260" i="3"/>
  <c r="G260" i="3"/>
  <c r="F260" i="3"/>
  <c r="E260" i="3"/>
  <c r="D260" i="3"/>
  <c r="C260" i="3"/>
  <c r="B260" i="3"/>
  <c r="L259" i="3"/>
  <c r="K259" i="3"/>
  <c r="J259" i="3"/>
  <c r="I259" i="3"/>
  <c r="H259" i="3"/>
  <c r="G259" i="3"/>
  <c r="F259" i="3"/>
  <c r="E259" i="3"/>
  <c r="D259" i="3"/>
  <c r="C259" i="3"/>
  <c r="B259" i="3"/>
  <c r="L258" i="3"/>
  <c r="K258" i="3"/>
  <c r="J258" i="3"/>
  <c r="I258" i="3"/>
  <c r="H258" i="3"/>
  <c r="G258" i="3"/>
  <c r="F258" i="3"/>
  <c r="E258" i="3"/>
  <c r="D258" i="3"/>
  <c r="C258" i="3"/>
  <c r="B258" i="3"/>
  <c r="L257" i="3"/>
  <c r="K257" i="3"/>
  <c r="J257" i="3"/>
  <c r="I257" i="3"/>
  <c r="H257" i="3"/>
  <c r="G257" i="3"/>
  <c r="F257" i="3"/>
  <c r="E257" i="3"/>
  <c r="D257" i="3"/>
  <c r="C257" i="3"/>
  <c r="B257" i="3"/>
  <c r="L256" i="3"/>
  <c r="K256" i="3"/>
  <c r="J256" i="3"/>
  <c r="I256" i="3"/>
  <c r="H256" i="3"/>
  <c r="G256" i="3"/>
  <c r="F256" i="3"/>
  <c r="E256" i="3"/>
  <c r="D256" i="3"/>
  <c r="C256" i="3"/>
  <c r="B256" i="3"/>
  <c r="L255" i="3"/>
  <c r="K255" i="3"/>
  <c r="J255" i="3"/>
  <c r="I255" i="3"/>
  <c r="H255" i="3"/>
  <c r="G255" i="3"/>
  <c r="F255" i="3"/>
  <c r="E255" i="3"/>
  <c r="D255" i="3"/>
  <c r="C255" i="3"/>
  <c r="B255" i="3"/>
  <c r="L254" i="3"/>
  <c r="K254" i="3"/>
  <c r="J254" i="3"/>
  <c r="I254" i="3"/>
  <c r="H254" i="3"/>
  <c r="G254" i="3"/>
  <c r="F254" i="3"/>
  <c r="E254" i="3"/>
  <c r="D254" i="3"/>
  <c r="C254" i="3"/>
  <c r="B254" i="3"/>
  <c r="L253" i="3"/>
  <c r="K253" i="3"/>
  <c r="J253" i="3"/>
  <c r="I253" i="3"/>
  <c r="H253" i="3"/>
  <c r="G253" i="3"/>
  <c r="F253" i="3"/>
  <c r="E253" i="3"/>
  <c r="D253" i="3"/>
  <c r="C253" i="3"/>
  <c r="B253" i="3"/>
  <c r="L252" i="3"/>
  <c r="K252" i="3"/>
  <c r="J252" i="3"/>
  <c r="I252" i="3"/>
  <c r="H252" i="3"/>
  <c r="G252" i="3"/>
  <c r="F252" i="3"/>
  <c r="E252" i="3"/>
  <c r="D252" i="3"/>
  <c r="C252" i="3"/>
  <c r="B252" i="3"/>
  <c r="L251" i="3"/>
  <c r="K251" i="3"/>
  <c r="J251" i="3"/>
  <c r="I251" i="3"/>
  <c r="H251" i="3"/>
  <c r="G251" i="3"/>
  <c r="F251" i="3"/>
  <c r="E251" i="3"/>
  <c r="D251" i="3"/>
  <c r="C251" i="3"/>
  <c r="B251" i="3"/>
  <c r="L250" i="3"/>
  <c r="K250" i="3"/>
  <c r="J250" i="3"/>
  <c r="I250" i="3"/>
  <c r="H250" i="3"/>
  <c r="G250" i="3"/>
  <c r="F250" i="3"/>
  <c r="E250" i="3"/>
  <c r="D250" i="3"/>
  <c r="C250" i="3"/>
  <c r="B250" i="3"/>
  <c r="L249" i="3"/>
  <c r="K249" i="3"/>
  <c r="J249" i="3"/>
  <c r="I249" i="3"/>
  <c r="H249" i="3"/>
  <c r="G249" i="3"/>
  <c r="F249" i="3"/>
  <c r="E249" i="3"/>
  <c r="D249" i="3"/>
  <c r="C249" i="3"/>
  <c r="B249" i="3"/>
  <c r="L248" i="3"/>
  <c r="K248" i="3"/>
  <c r="J248" i="3"/>
  <c r="I248" i="3"/>
  <c r="H248" i="3"/>
  <c r="G248" i="3"/>
  <c r="F248" i="3"/>
  <c r="E248" i="3"/>
  <c r="D248" i="3"/>
  <c r="C248" i="3"/>
  <c r="B248" i="3"/>
  <c r="L247" i="3"/>
  <c r="K247" i="3"/>
  <c r="J247" i="3"/>
  <c r="I247" i="3"/>
  <c r="H247" i="3"/>
  <c r="G247" i="3"/>
  <c r="F247" i="3"/>
  <c r="E247" i="3"/>
  <c r="D247" i="3"/>
  <c r="C247" i="3"/>
  <c r="B247" i="3"/>
  <c r="L246" i="3"/>
  <c r="K246" i="3"/>
  <c r="J246" i="3"/>
  <c r="I246" i="3"/>
  <c r="H246" i="3"/>
  <c r="G246" i="3"/>
  <c r="F246" i="3"/>
  <c r="E246" i="3"/>
  <c r="D246" i="3"/>
  <c r="C246" i="3"/>
  <c r="B246" i="3"/>
  <c r="L245" i="3"/>
  <c r="K245" i="3"/>
  <c r="J245" i="3"/>
  <c r="I245" i="3"/>
  <c r="H245" i="3"/>
  <c r="G245" i="3"/>
  <c r="F245" i="3"/>
  <c r="E245" i="3"/>
  <c r="D245" i="3"/>
  <c r="C245" i="3"/>
  <c r="B245" i="3"/>
  <c r="L244" i="3"/>
  <c r="K244" i="3"/>
  <c r="J244" i="3"/>
  <c r="I244" i="3"/>
  <c r="H244" i="3"/>
  <c r="G244" i="3"/>
  <c r="F244" i="3"/>
  <c r="E244" i="3"/>
  <c r="D244" i="3"/>
  <c r="C244" i="3"/>
  <c r="B244" i="3"/>
  <c r="L243" i="3"/>
  <c r="K243" i="3"/>
  <c r="J243" i="3"/>
  <c r="I243" i="3"/>
  <c r="H243" i="3"/>
  <c r="G243" i="3"/>
  <c r="F243" i="3"/>
  <c r="E243" i="3"/>
  <c r="D243" i="3"/>
  <c r="C243" i="3"/>
  <c r="B243" i="3"/>
  <c r="L242" i="3"/>
  <c r="K242" i="3"/>
  <c r="J242" i="3"/>
  <c r="I242" i="3"/>
  <c r="H242" i="3"/>
  <c r="G242" i="3"/>
  <c r="F242" i="3"/>
  <c r="E242" i="3"/>
  <c r="D242" i="3"/>
  <c r="C242" i="3"/>
  <c r="B242" i="3"/>
  <c r="L241" i="3"/>
  <c r="K241" i="3"/>
  <c r="J241" i="3"/>
  <c r="I241" i="3"/>
  <c r="H241" i="3"/>
  <c r="G241" i="3"/>
  <c r="F241" i="3"/>
  <c r="E241" i="3"/>
  <c r="D241" i="3"/>
  <c r="C241" i="3"/>
  <c r="B241" i="3"/>
  <c r="L240" i="3"/>
  <c r="K240" i="3"/>
  <c r="J240" i="3"/>
  <c r="I240" i="3"/>
  <c r="H240" i="3"/>
  <c r="G240" i="3"/>
  <c r="F240" i="3"/>
  <c r="E240" i="3"/>
  <c r="D240" i="3"/>
  <c r="C240" i="3"/>
  <c r="B240" i="3"/>
  <c r="L239" i="3"/>
  <c r="K239" i="3"/>
  <c r="J239" i="3"/>
  <c r="I239" i="3"/>
  <c r="H239" i="3"/>
  <c r="G239" i="3"/>
  <c r="F239" i="3"/>
  <c r="E239" i="3"/>
  <c r="D239" i="3"/>
  <c r="C239" i="3"/>
  <c r="B239" i="3"/>
  <c r="L238" i="3"/>
  <c r="K238" i="3"/>
  <c r="J238" i="3"/>
  <c r="I238" i="3"/>
  <c r="H238" i="3"/>
  <c r="G238" i="3"/>
  <c r="F238" i="3"/>
  <c r="E238" i="3"/>
  <c r="D238" i="3"/>
  <c r="C238" i="3"/>
  <c r="B238" i="3"/>
  <c r="L237" i="3"/>
  <c r="K237" i="3"/>
  <c r="J237" i="3"/>
  <c r="I237" i="3"/>
  <c r="H237" i="3"/>
  <c r="G237" i="3"/>
  <c r="F237" i="3"/>
  <c r="E237" i="3"/>
  <c r="D237" i="3"/>
  <c r="C237" i="3"/>
  <c r="B237" i="3"/>
  <c r="L236" i="3"/>
  <c r="K236" i="3"/>
  <c r="J236" i="3"/>
  <c r="I236" i="3"/>
  <c r="H236" i="3"/>
  <c r="G236" i="3"/>
  <c r="F236" i="3"/>
  <c r="E236" i="3"/>
  <c r="D236" i="3"/>
  <c r="C236" i="3"/>
  <c r="B236" i="3"/>
  <c r="L235" i="3"/>
  <c r="K235" i="3"/>
  <c r="J235" i="3"/>
  <c r="I235" i="3"/>
  <c r="H235" i="3"/>
  <c r="G235" i="3"/>
  <c r="F235" i="3"/>
  <c r="E235" i="3"/>
  <c r="D235" i="3"/>
  <c r="C235" i="3"/>
  <c r="B235" i="3"/>
  <c r="L234" i="3"/>
  <c r="K234" i="3"/>
  <c r="J234" i="3"/>
  <c r="I234" i="3"/>
  <c r="H234" i="3"/>
  <c r="G234" i="3"/>
  <c r="F234" i="3"/>
  <c r="E234" i="3"/>
  <c r="D234" i="3"/>
  <c r="C234" i="3"/>
  <c r="B234" i="3"/>
  <c r="L233" i="3"/>
  <c r="K233" i="3"/>
  <c r="J233" i="3"/>
  <c r="I233" i="3"/>
  <c r="H233" i="3"/>
  <c r="G233" i="3"/>
  <c r="F233" i="3"/>
  <c r="E233" i="3"/>
  <c r="D233" i="3"/>
  <c r="C233" i="3"/>
  <c r="B233" i="3"/>
  <c r="L232" i="3"/>
  <c r="K232" i="3"/>
  <c r="J232" i="3"/>
  <c r="I232" i="3"/>
  <c r="H232" i="3"/>
  <c r="G232" i="3"/>
  <c r="F232" i="3"/>
  <c r="E232" i="3"/>
  <c r="D232" i="3"/>
  <c r="C232" i="3"/>
  <c r="B232" i="3"/>
  <c r="L231" i="3"/>
  <c r="K231" i="3"/>
  <c r="J231" i="3"/>
  <c r="I231" i="3"/>
  <c r="H231" i="3"/>
  <c r="G231" i="3"/>
  <c r="F231" i="3"/>
  <c r="E231" i="3"/>
  <c r="D231" i="3"/>
  <c r="C231" i="3"/>
  <c r="B231" i="3"/>
  <c r="L230" i="3"/>
  <c r="K230" i="3"/>
  <c r="J230" i="3"/>
  <c r="I230" i="3"/>
  <c r="H230" i="3"/>
  <c r="G230" i="3"/>
  <c r="F230" i="3"/>
  <c r="E230" i="3"/>
  <c r="D230" i="3"/>
  <c r="C230" i="3"/>
  <c r="B230" i="3"/>
  <c r="L229" i="3"/>
  <c r="K229" i="3"/>
  <c r="J229" i="3"/>
  <c r="I229" i="3"/>
  <c r="H229" i="3"/>
  <c r="G229" i="3"/>
  <c r="F229" i="3"/>
  <c r="E229" i="3"/>
  <c r="D229" i="3"/>
  <c r="C229" i="3"/>
  <c r="B229" i="3"/>
  <c r="L228" i="3"/>
  <c r="K228" i="3"/>
  <c r="J228" i="3"/>
  <c r="I228" i="3"/>
  <c r="H228" i="3"/>
  <c r="G228" i="3"/>
  <c r="F228" i="3"/>
  <c r="E228" i="3"/>
  <c r="D228" i="3"/>
  <c r="C228" i="3"/>
  <c r="B228" i="3"/>
  <c r="L227" i="3"/>
  <c r="K227" i="3"/>
  <c r="J227" i="3"/>
  <c r="I227" i="3"/>
  <c r="H227" i="3"/>
  <c r="G227" i="3"/>
  <c r="F227" i="3"/>
  <c r="E227" i="3"/>
  <c r="D227" i="3"/>
  <c r="C227" i="3"/>
  <c r="B227" i="3"/>
  <c r="L226" i="3"/>
  <c r="K226" i="3"/>
  <c r="J226" i="3"/>
  <c r="I226" i="3"/>
  <c r="H226" i="3"/>
  <c r="G226" i="3"/>
  <c r="F226" i="3"/>
  <c r="E226" i="3"/>
  <c r="D226" i="3"/>
  <c r="C226" i="3"/>
  <c r="B226" i="3"/>
  <c r="L225" i="3"/>
  <c r="K225" i="3"/>
  <c r="J225" i="3"/>
  <c r="I225" i="3"/>
  <c r="H225" i="3"/>
  <c r="G225" i="3"/>
  <c r="F225" i="3"/>
  <c r="E225" i="3"/>
  <c r="D225" i="3"/>
  <c r="C225" i="3"/>
  <c r="B225" i="3"/>
  <c r="L224" i="3"/>
  <c r="K224" i="3"/>
  <c r="J224" i="3"/>
  <c r="I224" i="3"/>
  <c r="H224" i="3"/>
  <c r="G224" i="3"/>
  <c r="F224" i="3"/>
  <c r="E224" i="3"/>
  <c r="D224" i="3"/>
  <c r="C224" i="3"/>
  <c r="B224" i="3"/>
  <c r="L223" i="3"/>
  <c r="K223" i="3"/>
  <c r="J223" i="3"/>
  <c r="I223" i="3"/>
  <c r="H223" i="3"/>
  <c r="G223" i="3"/>
  <c r="F223" i="3"/>
  <c r="E223" i="3"/>
  <c r="D223" i="3"/>
  <c r="C223" i="3"/>
  <c r="B223" i="3"/>
  <c r="L222" i="3"/>
  <c r="K222" i="3"/>
  <c r="J222" i="3"/>
  <c r="I222" i="3"/>
  <c r="H222" i="3"/>
  <c r="G222" i="3"/>
  <c r="F222" i="3"/>
  <c r="E222" i="3"/>
  <c r="D222" i="3"/>
  <c r="C222" i="3"/>
  <c r="B222" i="3"/>
  <c r="L221" i="3"/>
  <c r="K221" i="3"/>
  <c r="J221" i="3"/>
  <c r="I221" i="3"/>
  <c r="H221" i="3"/>
  <c r="G221" i="3"/>
  <c r="F221" i="3"/>
  <c r="E221" i="3"/>
  <c r="D221" i="3"/>
  <c r="C221" i="3"/>
  <c r="B221" i="3"/>
  <c r="L220" i="3"/>
  <c r="K220" i="3"/>
  <c r="J220" i="3"/>
  <c r="I220" i="3"/>
  <c r="H220" i="3"/>
  <c r="G220" i="3"/>
  <c r="F220" i="3"/>
  <c r="E220" i="3"/>
  <c r="D220" i="3"/>
  <c r="C220" i="3"/>
  <c r="B220" i="3"/>
  <c r="L219" i="3"/>
  <c r="K219" i="3"/>
  <c r="J219" i="3"/>
  <c r="I219" i="3"/>
  <c r="H219" i="3"/>
  <c r="G219" i="3"/>
  <c r="F219" i="3"/>
  <c r="E219" i="3"/>
  <c r="D219" i="3"/>
  <c r="C219" i="3"/>
  <c r="B219" i="3"/>
  <c r="L218" i="3"/>
  <c r="K218" i="3"/>
  <c r="J218" i="3"/>
  <c r="I218" i="3"/>
  <c r="H218" i="3"/>
  <c r="G218" i="3"/>
  <c r="F218" i="3"/>
  <c r="E218" i="3"/>
  <c r="D218" i="3"/>
  <c r="C218" i="3"/>
  <c r="B218" i="3"/>
  <c r="L217" i="3"/>
  <c r="K217" i="3"/>
  <c r="J217" i="3"/>
  <c r="I217" i="3"/>
  <c r="H217" i="3"/>
  <c r="G217" i="3"/>
  <c r="F217" i="3"/>
  <c r="E217" i="3"/>
  <c r="D217" i="3"/>
  <c r="C217" i="3"/>
  <c r="B217" i="3"/>
  <c r="L216" i="3"/>
  <c r="K216" i="3"/>
  <c r="J216" i="3"/>
  <c r="I216" i="3"/>
  <c r="H216" i="3"/>
  <c r="G216" i="3"/>
  <c r="F216" i="3"/>
  <c r="E216" i="3"/>
  <c r="D216" i="3"/>
  <c r="C216" i="3"/>
  <c r="B216" i="3"/>
  <c r="L215" i="3"/>
  <c r="K215" i="3"/>
  <c r="J215" i="3"/>
  <c r="I215" i="3"/>
  <c r="H215" i="3"/>
  <c r="G215" i="3"/>
  <c r="F215" i="3"/>
  <c r="E215" i="3"/>
  <c r="D215" i="3"/>
  <c r="C215" i="3"/>
  <c r="B215" i="3"/>
  <c r="L214" i="3"/>
  <c r="K214" i="3"/>
  <c r="J214" i="3"/>
  <c r="I214" i="3"/>
  <c r="H214" i="3"/>
  <c r="G214" i="3"/>
  <c r="F214" i="3"/>
  <c r="E214" i="3"/>
  <c r="D214" i="3"/>
  <c r="C214" i="3"/>
  <c r="B214" i="3"/>
  <c r="L213" i="3"/>
  <c r="K213" i="3"/>
  <c r="J213" i="3"/>
  <c r="I213" i="3"/>
  <c r="H213" i="3"/>
  <c r="G213" i="3"/>
  <c r="F213" i="3"/>
  <c r="E213" i="3"/>
  <c r="D213" i="3"/>
  <c r="C213" i="3"/>
  <c r="B213" i="3"/>
  <c r="L212" i="3"/>
  <c r="K212" i="3"/>
  <c r="J212" i="3"/>
  <c r="I212" i="3"/>
  <c r="H212" i="3"/>
  <c r="G212" i="3"/>
  <c r="F212" i="3"/>
  <c r="E212" i="3"/>
  <c r="D212" i="3"/>
  <c r="C212" i="3"/>
  <c r="B212" i="3"/>
  <c r="L211" i="3"/>
  <c r="K211" i="3"/>
  <c r="J211" i="3"/>
  <c r="I211" i="3"/>
  <c r="H211" i="3"/>
  <c r="G211" i="3"/>
  <c r="F211" i="3"/>
  <c r="E211" i="3"/>
  <c r="D211" i="3"/>
  <c r="C211" i="3"/>
  <c r="B211" i="3"/>
  <c r="L210" i="3"/>
  <c r="K210" i="3"/>
  <c r="J210" i="3"/>
  <c r="I210" i="3"/>
  <c r="H210" i="3"/>
  <c r="G210" i="3"/>
  <c r="F210" i="3"/>
  <c r="E210" i="3"/>
  <c r="D210" i="3"/>
  <c r="C210" i="3"/>
  <c r="B210" i="3"/>
  <c r="L209" i="3"/>
  <c r="K209" i="3"/>
  <c r="J209" i="3"/>
  <c r="I209" i="3"/>
  <c r="H209" i="3"/>
  <c r="G209" i="3"/>
  <c r="F209" i="3"/>
  <c r="E209" i="3"/>
  <c r="D209" i="3"/>
  <c r="C209" i="3"/>
  <c r="B209" i="3"/>
  <c r="L208" i="3"/>
  <c r="K208" i="3"/>
  <c r="J208" i="3"/>
  <c r="I208" i="3"/>
  <c r="H208" i="3"/>
  <c r="G208" i="3"/>
  <c r="F208" i="3"/>
  <c r="E208" i="3"/>
  <c r="D208" i="3"/>
  <c r="C208" i="3"/>
  <c r="B208" i="3"/>
  <c r="L207" i="3"/>
  <c r="K207" i="3"/>
  <c r="J207" i="3"/>
  <c r="I207" i="3"/>
  <c r="H207" i="3"/>
  <c r="G207" i="3"/>
  <c r="F207" i="3"/>
  <c r="E207" i="3"/>
  <c r="D207" i="3"/>
  <c r="C207" i="3"/>
  <c r="B207" i="3"/>
  <c r="L206" i="3"/>
  <c r="K206" i="3"/>
  <c r="J206" i="3"/>
  <c r="I206" i="3"/>
  <c r="H206" i="3"/>
  <c r="G206" i="3"/>
  <c r="F206" i="3"/>
  <c r="E206" i="3"/>
  <c r="D206" i="3"/>
  <c r="C206" i="3"/>
  <c r="B206" i="3"/>
  <c r="L205" i="3"/>
  <c r="K205" i="3"/>
  <c r="J205" i="3"/>
  <c r="I205" i="3"/>
  <c r="H205" i="3"/>
  <c r="G205" i="3"/>
  <c r="F205" i="3"/>
  <c r="E205" i="3"/>
  <c r="D205" i="3"/>
  <c r="C205" i="3"/>
  <c r="B205" i="3"/>
  <c r="L204" i="3"/>
  <c r="K204" i="3"/>
  <c r="J204" i="3"/>
  <c r="I204" i="3"/>
  <c r="H204" i="3"/>
  <c r="G204" i="3"/>
  <c r="F204" i="3"/>
  <c r="E204" i="3"/>
  <c r="D204" i="3"/>
  <c r="C204" i="3"/>
  <c r="B204" i="3"/>
  <c r="L203" i="3"/>
  <c r="K203" i="3"/>
  <c r="J203" i="3"/>
  <c r="I203" i="3"/>
  <c r="H203" i="3"/>
  <c r="G203" i="3"/>
  <c r="F203" i="3"/>
  <c r="E203" i="3"/>
  <c r="D203" i="3"/>
  <c r="C203" i="3"/>
  <c r="B203" i="3"/>
  <c r="L202" i="3"/>
  <c r="K202" i="3"/>
  <c r="J202" i="3"/>
  <c r="I202" i="3"/>
  <c r="H202" i="3"/>
  <c r="G202" i="3"/>
  <c r="F202" i="3"/>
  <c r="E202" i="3"/>
  <c r="D202" i="3"/>
  <c r="C202" i="3"/>
  <c r="B202" i="3"/>
  <c r="L201" i="3"/>
  <c r="K201" i="3"/>
  <c r="J201" i="3"/>
  <c r="I201" i="3"/>
  <c r="H201" i="3"/>
  <c r="G201" i="3"/>
  <c r="F201" i="3"/>
  <c r="E201" i="3"/>
  <c r="D201" i="3"/>
  <c r="C201" i="3"/>
  <c r="B201" i="3"/>
  <c r="L200" i="3"/>
  <c r="K200" i="3"/>
  <c r="J200" i="3"/>
  <c r="I200" i="3"/>
  <c r="H200" i="3"/>
  <c r="G200" i="3"/>
  <c r="F200" i="3"/>
  <c r="E200" i="3"/>
  <c r="D200" i="3"/>
  <c r="C200" i="3"/>
  <c r="B200" i="3"/>
  <c r="L199" i="3"/>
  <c r="K199" i="3"/>
  <c r="J199" i="3"/>
  <c r="I199" i="3"/>
  <c r="H199" i="3"/>
  <c r="G199" i="3"/>
  <c r="F199" i="3"/>
  <c r="E199" i="3"/>
  <c r="D199" i="3"/>
  <c r="C199" i="3"/>
  <c r="B199" i="3"/>
  <c r="L198" i="3"/>
  <c r="K198" i="3"/>
  <c r="J198" i="3"/>
  <c r="I198" i="3"/>
  <c r="H198" i="3"/>
  <c r="G198" i="3"/>
  <c r="F198" i="3"/>
  <c r="E198" i="3"/>
  <c r="D198" i="3"/>
  <c r="C198" i="3"/>
  <c r="B198" i="3"/>
  <c r="L197" i="3"/>
  <c r="K197" i="3"/>
  <c r="J197" i="3"/>
  <c r="I197" i="3"/>
  <c r="H197" i="3"/>
  <c r="G197" i="3"/>
  <c r="F197" i="3"/>
  <c r="E197" i="3"/>
  <c r="D197" i="3"/>
  <c r="C197" i="3"/>
  <c r="B197" i="3"/>
  <c r="L196" i="3"/>
  <c r="K196" i="3"/>
  <c r="J196" i="3"/>
  <c r="I196" i="3"/>
  <c r="H196" i="3"/>
  <c r="G196" i="3"/>
  <c r="F196" i="3"/>
  <c r="E196" i="3"/>
  <c r="D196" i="3"/>
  <c r="C196" i="3"/>
  <c r="B196" i="3"/>
  <c r="L195" i="3"/>
  <c r="K195" i="3"/>
  <c r="J195" i="3"/>
  <c r="I195" i="3"/>
  <c r="H195" i="3"/>
  <c r="G195" i="3"/>
  <c r="F195" i="3"/>
  <c r="E195" i="3"/>
  <c r="D195" i="3"/>
  <c r="C195" i="3"/>
  <c r="B195" i="3"/>
  <c r="L194" i="3"/>
  <c r="K194" i="3"/>
  <c r="J194" i="3"/>
  <c r="I194" i="3"/>
  <c r="H194" i="3"/>
  <c r="G194" i="3"/>
  <c r="F194" i="3"/>
  <c r="E194" i="3"/>
  <c r="D194" i="3"/>
  <c r="C194" i="3"/>
  <c r="B194" i="3"/>
  <c r="L193" i="3"/>
  <c r="K193" i="3"/>
  <c r="J193" i="3"/>
  <c r="I193" i="3"/>
  <c r="H193" i="3"/>
  <c r="G193" i="3"/>
  <c r="F193" i="3"/>
  <c r="E193" i="3"/>
  <c r="D193" i="3"/>
  <c r="C193" i="3"/>
  <c r="B193" i="3"/>
  <c r="L192" i="3"/>
  <c r="K192" i="3"/>
  <c r="J192" i="3"/>
  <c r="I192" i="3"/>
  <c r="H192" i="3"/>
  <c r="G192" i="3"/>
  <c r="F192" i="3"/>
  <c r="E192" i="3"/>
  <c r="D192" i="3"/>
  <c r="C192" i="3"/>
  <c r="B192" i="3"/>
  <c r="L191" i="3"/>
  <c r="K191" i="3"/>
  <c r="J191" i="3"/>
  <c r="I191" i="3"/>
  <c r="H191" i="3"/>
  <c r="G191" i="3"/>
  <c r="F191" i="3"/>
  <c r="E191" i="3"/>
  <c r="D191" i="3"/>
  <c r="C191" i="3"/>
  <c r="B191" i="3"/>
  <c r="L190" i="3"/>
  <c r="K190" i="3"/>
  <c r="J190" i="3"/>
  <c r="I190" i="3"/>
  <c r="H190" i="3"/>
  <c r="G190" i="3"/>
  <c r="F190" i="3"/>
  <c r="E190" i="3"/>
  <c r="D190" i="3"/>
  <c r="C190" i="3"/>
  <c r="B190" i="3"/>
  <c r="L189" i="3"/>
  <c r="K189" i="3"/>
  <c r="J189" i="3"/>
  <c r="I189" i="3"/>
  <c r="H189" i="3"/>
  <c r="G189" i="3"/>
  <c r="F189" i="3"/>
  <c r="E189" i="3"/>
  <c r="D189" i="3"/>
  <c r="C189" i="3"/>
  <c r="B189" i="3"/>
  <c r="L188" i="3"/>
  <c r="K188" i="3"/>
  <c r="J188" i="3"/>
  <c r="I188" i="3"/>
  <c r="H188" i="3"/>
  <c r="G188" i="3"/>
  <c r="F188" i="3"/>
  <c r="E188" i="3"/>
  <c r="D188" i="3"/>
  <c r="C188" i="3"/>
  <c r="B188" i="3"/>
  <c r="L187" i="3"/>
  <c r="K187" i="3"/>
  <c r="J187" i="3"/>
  <c r="I187" i="3"/>
  <c r="H187" i="3"/>
  <c r="G187" i="3"/>
  <c r="F187" i="3"/>
  <c r="E187" i="3"/>
  <c r="D187" i="3"/>
  <c r="C187" i="3"/>
  <c r="B187" i="3"/>
  <c r="L186" i="3"/>
  <c r="K186" i="3"/>
  <c r="J186" i="3"/>
  <c r="I186" i="3"/>
  <c r="H186" i="3"/>
  <c r="G186" i="3"/>
  <c r="F186" i="3"/>
  <c r="E186" i="3"/>
  <c r="D186" i="3"/>
  <c r="C186" i="3"/>
  <c r="B186" i="3"/>
  <c r="L185" i="3"/>
  <c r="K185" i="3"/>
  <c r="J185" i="3"/>
  <c r="I185" i="3"/>
  <c r="H185" i="3"/>
  <c r="G185" i="3"/>
  <c r="F185" i="3"/>
  <c r="E185" i="3"/>
  <c r="D185" i="3"/>
  <c r="C185" i="3"/>
  <c r="B185" i="3"/>
  <c r="L184" i="3"/>
  <c r="K184" i="3"/>
  <c r="J184" i="3"/>
  <c r="I184" i="3"/>
  <c r="H184" i="3"/>
  <c r="G184" i="3"/>
  <c r="F184" i="3"/>
  <c r="E184" i="3"/>
  <c r="D184" i="3"/>
  <c r="C184" i="3"/>
  <c r="B184" i="3"/>
  <c r="L183" i="3"/>
  <c r="K183" i="3"/>
  <c r="J183" i="3"/>
  <c r="I183" i="3"/>
  <c r="H183" i="3"/>
  <c r="G183" i="3"/>
  <c r="F183" i="3"/>
  <c r="E183" i="3"/>
  <c r="D183" i="3"/>
  <c r="C183" i="3"/>
  <c r="B183" i="3"/>
  <c r="L182" i="3"/>
  <c r="K182" i="3"/>
  <c r="J182" i="3"/>
  <c r="I182" i="3"/>
  <c r="H182" i="3"/>
  <c r="G182" i="3"/>
  <c r="F182" i="3"/>
  <c r="E182" i="3"/>
  <c r="D182" i="3"/>
  <c r="C182" i="3"/>
  <c r="B182" i="3"/>
  <c r="L181" i="3"/>
  <c r="K181" i="3"/>
  <c r="J181" i="3"/>
  <c r="I181" i="3"/>
  <c r="H181" i="3"/>
  <c r="G181" i="3"/>
  <c r="F181" i="3"/>
  <c r="E181" i="3"/>
  <c r="D181" i="3"/>
  <c r="C181" i="3"/>
  <c r="B181" i="3"/>
  <c r="L180" i="3"/>
  <c r="K180" i="3"/>
  <c r="J180" i="3"/>
  <c r="I180" i="3"/>
  <c r="H180" i="3"/>
  <c r="G180" i="3"/>
  <c r="F180" i="3"/>
  <c r="E180" i="3"/>
  <c r="D180" i="3"/>
  <c r="C180" i="3"/>
  <c r="B180" i="3"/>
  <c r="L179" i="3"/>
  <c r="K179" i="3"/>
  <c r="J179" i="3"/>
  <c r="I179" i="3"/>
  <c r="H179" i="3"/>
  <c r="G179" i="3"/>
  <c r="F179" i="3"/>
  <c r="E179" i="3"/>
  <c r="D179" i="3"/>
  <c r="C179" i="3"/>
  <c r="B179" i="3"/>
  <c r="L178" i="3"/>
  <c r="K178" i="3"/>
  <c r="J178" i="3"/>
  <c r="I178" i="3"/>
  <c r="H178" i="3"/>
  <c r="G178" i="3"/>
  <c r="F178" i="3"/>
  <c r="E178" i="3"/>
  <c r="D178" i="3"/>
  <c r="C178" i="3"/>
  <c r="B178" i="3"/>
  <c r="L177" i="3"/>
  <c r="K177" i="3"/>
  <c r="J177" i="3"/>
  <c r="I177" i="3"/>
  <c r="H177" i="3"/>
  <c r="G177" i="3"/>
  <c r="F177" i="3"/>
  <c r="E177" i="3"/>
  <c r="D177" i="3"/>
  <c r="C177" i="3"/>
  <c r="B177" i="3"/>
  <c r="L176" i="3"/>
  <c r="K176" i="3"/>
  <c r="J176" i="3"/>
  <c r="I176" i="3"/>
  <c r="H176" i="3"/>
  <c r="G176" i="3"/>
  <c r="F176" i="3"/>
  <c r="E176" i="3"/>
  <c r="D176" i="3"/>
  <c r="C176" i="3"/>
  <c r="B176" i="3"/>
  <c r="L175" i="3"/>
  <c r="K175" i="3"/>
  <c r="J175" i="3"/>
  <c r="I175" i="3"/>
  <c r="H175" i="3"/>
  <c r="G175" i="3"/>
  <c r="F175" i="3"/>
  <c r="E175" i="3"/>
  <c r="D175" i="3"/>
  <c r="C175" i="3"/>
  <c r="B175" i="3"/>
  <c r="L174" i="3"/>
  <c r="K174" i="3"/>
  <c r="J174" i="3"/>
  <c r="I174" i="3"/>
  <c r="H174" i="3"/>
  <c r="G174" i="3"/>
  <c r="F174" i="3"/>
  <c r="E174" i="3"/>
  <c r="D174" i="3"/>
  <c r="C174" i="3"/>
  <c r="B174" i="3"/>
  <c r="L173" i="3"/>
  <c r="K173" i="3"/>
  <c r="J173" i="3"/>
  <c r="I173" i="3"/>
  <c r="H173" i="3"/>
  <c r="G173" i="3"/>
  <c r="F173" i="3"/>
  <c r="E173" i="3"/>
  <c r="D173" i="3"/>
  <c r="C173" i="3"/>
  <c r="B173" i="3"/>
  <c r="L172" i="3"/>
  <c r="K172" i="3"/>
  <c r="J172" i="3"/>
  <c r="I172" i="3"/>
  <c r="H172" i="3"/>
  <c r="G172" i="3"/>
  <c r="F172" i="3"/>
  <c r="E172" i="3"/>
  <c r="D172" i="3"/>
  <c r="C172" i="3"/>
  <c r="B172" i="3"/>
  <c r="L171" i="3"/>
  <c r="K171" i="3"/>
  <c r="J171" i="3"/>
  <c r="I171" i="3"/>
  <c r="H171" i="3"/>
  <c r="G171" i="3"/>
  <c r="F171" i="3"/>
  <c r="E171" i="3"/>
  <c r="D171" i="3"/>
  <c r="C171" i="3"/>
  <c r="B171" i="3"/>
  <c r="L170" i="3"/>
  <c r="K170" i="3"/>
  <c r="J170" i="3"/>
  <c r="I170" i="3"/>
  <c r="H170" i="3"/>
  <c r="G170" i="3"/>
  <c r="F170" i="3"/>
  <c r="E170" i="3"/>
  <c r="D170" i="3"/>
  <c r="C170" i="3"/>
  <c r="B170" i="3"/>
  <c r="L169" i="3"/>
  <c r="K169" i="3"/>
  <c r="J169" i="3"/>
  <c r="I169" i="3"/>
  <c r="H169" i="3"/>
  <c r="G169" i="3"/>
  <c r="F169" i="3"/>
  <c r="E169" i="3"/>
  <c r="D169" i="3"/>
  <c r="C169" i="3"/>
  <c r="B169" i="3"/>
  <c r="L168" i="3"/>
  <c r="K168" i="3"/>
  <c r="J168" i="3"/>
  <c r="I168" i="3"/>
  <c r="H168" i="3"/>
  <c r="G168" i="3"/>
  <c r="F168" i="3"/>
  <c r="E168" i="3"/>
  <c r="D168" i="3"/>
  <c r="C168" i="3"/>
  <c r="B168" i="3"/>
  <c r="L167" i="3"/>
  <c r="K167" i="3"/>
  <c r="J167" i="3"/>
  <c r="I167" i="3"/>
  <c r="H167" i="3"/>
  <c r="G167" i="3"/>
  <c r="F167" i="3"/>
  <c r="E167" i="3"/>
  <c r="D167" i="3"/>
  <c r="C167" i="3"/>
  <c r="B167" i="3"/>
  <c r="L166" i="3"/>
  <c r="K166" i="3"/>
  <c r="J166" i="3"/>
  <c r="I166" i="3"/>
  <c r="H166" i="3"/>
  <c r="G166" i="3"/>
  <c r="F166" i="3"/>
  <c r="E166" i="3"/>
  <c r="D166" i="3"/>
  <c r="C166" i="3"/>
  <c r="B166" i="3"/>
  <c r="L165" i="3"/>
  <c r="K165" i="3"/>
  <c r="J165" i="3"/>
  <c r="I165" i="3"/>
  <c r="H165" i="3"/>
  <c r="G165" i="3"/>
  <c r="F165" i="3"/>
  <c r="E165" i="3"/>
  <c r="D165" i="3"/>
  <c r="C165" i="3"/>
  <c r="B165" i="3"/>
  <c r="L164" i="3"/>
  <c r="K164" i="3"/>
  <c r="J164" i="3"/>
  <c r="I164" i="3"/>
  <c r="H164" i="3"/>
  <c r="G164" i="3"/>
  <c r="F164" i="3"/>
  <c r="E164" i="3"/>
  <c r="D164" i="3"/>
  <c r="C164" i="3"/>
  <c r="B164" i="3"/>
  <c r="L163" i="3"/>
  <c r="K163" i="3"/>
  <c r="J163" i="3"/>
  <c r="I163" i="3"/>
  <c r="H163" i="3"/>
  <c r="G163" i="3"/>
  <c r="F163" i="3"/>
  <c r="E163" i="3"/>
  <c r="D163" i="3"/>
  <c r="C163" i="3"/>
  <c r="B163" i="3"/>
  <c r="L162" i="3"/>
  <c r="K162" i="3"/>
  <c r="J162" i="3"/>
  <c r="I162" i="3"/>
  <c r="H162" i="3"/>
  <c r="G162" i="3"/>
  <c r="F162" i="3"/>
  <c r="E162" i="3"/>
  <c r="D162" i="3"/>
  <c r="C162" i="3"/>
  <c r="B162" i="3"/>
  <c r="L161" i="3"/>
  <c r="K161" i="3"/>
  <c r="J161" i="3"/>
  <c r="I161" i="3"/>
  <c r="H161" i="3"/>
  <c r="G161" i="3"/>
  <c r="F161" i="3"/>
  <c r="E161" i="3"/>
  <c r="D161" i="3"/>
  <c r="C161" i="3"/>
  <c r="B161" i="3"/>
  <c r="L160" i="3"/>
  <c r="K160" i="3"/>
  <c r="J160" i="3"/>
  <c r="I160" i="3"/>
  <c r="H160" i="3"/>
  <c r="G160" i="3"/>
  <c r="F160" i="3"/>
  <c r="E160" i="3"/>
  <c r="D160" i="3"/>
  <c r="C160" i="3"/>
  <c r="B160" i="3"/>
  <c r="L159" i="3"/>
  <c r="K159" i="3"/>
  <c r="J159" i="3"/>
  <c r="I159" i="3"/>
  <c r="H159" i="3"/>
  <c r="G159" i="3"/>
  <c r="F159" i="3"/>
  <c r="E159" i="3"/>
  <c r="D159" i="3"/>
  <c r="C159" i="3"/>
  <c r="B159" i="3"/>
  <c r="L158" i="3"/>
  <c r="K158" i="3"/>
  <c r="J158" i="3"/>
  <c r="I158" i="3"/>
  <c r="H158" i="3"/>
  <c r="G158" i="3"/>
  <c r="F158" i="3"/>
  <c r="E158" i="3"/>
  <c r="D158" i="3"/>
  <c r="C158" i="3"/>
  <c r="B158" i="3"/>
  <c r="L157" i="3"/>
  <c r="K157" i="3"/>
  <c r="J157" i="3"/>
  <c r="I157" i="3"/>
  <c r="H157" i="3"/>
  <c r="G157" i="3"/>
  <c r="F157" i="3"/>
  <c r="E157" i="3"/>
  <c r="D157" i="3"/>
  <c r="C157" i="3"/>
  <c r="B157" i="3"/>
  <c r="L156" i="3"/>
  <c r="K156" i="3"/>
  <c r="J156" i="3"/>
  <c r="I156" i="3"/>
  <c r="H156" i="3"/>
  <c r="G156" i="3"/>
  <c r="F156" i="3"/>
  <c r="E156" i="3"/>
  <c r="D156" i="3"/>
  <c r="C156" i="3"/>
  <c r="B156" i="3"/>
  <c r="L155" i="3"/>
  <c r="K155" i="3"/>
  <c r="J155" i="3"/>
  <c r="I155" i="3"/>
  <c r="H155" i="3"/>
  <c r="G155" i="3"/>
  <c r="F155" i="3"/>
  <c r="E155" i="3"/>
  <c r="D155" i="3"/>
  <c r="C155" i="3"/>
  <c r="B155" i="3"/>
  <c r="L154" i="3"/>
  <c r="K154" i="3"/>
  <c r="J154" i="3"/>
  <c r="I154" i="3"/>
  <c r="H154" i="3"/>
  <c r="G154" i="3"/>
  <c r="F154" i="3"/>
  <c r="E154" i="3"/>
  <c r="D154" i="3"/>
  <c r="C154" i="3"/>
  <c r="B154" i="3"/>
  <c r="L153" i="3"/>
  <c r="K153" i="3"/>
  <c r="J153" i="3"/>
  <c r="I153" i="3"/>
  <c r="H153" i="3"/>
  <c r="G153" i="3"/>
  <c r="F153" i="3"/>
  <c r="E153" i="3"/>
  <c r="D153" i="3"/>
  <c r="C153" i="3"/>
  <c r="B153" i="3"/>
  <c r="L152" i="3"/>
  <c r="K152" i="3"/>
  <c r="J152" i="3"/>
  <c r="I152" i="3"/>
  <c r="H152" i="3"/>
  <c r="G152" i="3"/>
  <c r="F152" i="3"/>
  <c r="E152" i="3"/>
  <c r="D152" i="3"/>
  <c r="C152" i="3"/>
  <c r="B152" i="3"/>
  <c r="L151" i="3"/>
  <c r="K151" i="3"/>
  <c r="J151" i="3"/>
  <c r="I151" i="3"/>
  <c r="H151" i="3"/>
  <c r="G151" i="3"/>
  <c r="F151" i="3"/>
  <c r="E151" i="3"/>
  <c r="D151" i="3"/>
  <c r="C151" i="3"/>
  <c r="B151" i="3"/>
  <c r="L150" i="3"/>
  <c r="K150" i="3"/>
  <c r="J150" i="3"/>
  <c r="I150" i="3"/>
  <c r="H150" i="3"/>
  <c r="G150" i="3"/>
  <c r="F150" i="3"/>
  <c r="E150" i="3"/>
  <c r="D150" i="3"/>
  <c r="C150" i="3"/>
  <c r="B150" i="3"/>
  <c r="L149" i="3"/>
  <c r="K149" i="3"/>
  <c r="J149" i="3"/>
  <c r="I149" i="3"/>
  <c r="H149" i="3"/>
  <c r="G149" i="3"/>
  <c r="F149" i="3"/>
  <c r="E149" i="3"/>
  <c r="D149" i="3"/>
  <c r="C149" i="3"/>
  <c r="B149" i="3"/>
  <c r="L148" i="3"/>
  <c r="K148" i="3"/>
  <c r="J148" i="3"/>
  <c r="I148" i="3"/>
  <c r="H148" i="3"/>
  <c r="G148" i="3"/>
  <c r="F148" i="3"/>
  <c r="E148" i="3"/>
  <c r="D148" i="3"/>
  <c r="C148" i="3"/>
  <c r="B148" i="3"/>
  <c r="L147" i="3"/>
  <c r="K147" i="3"/>
  <c r="J147" i="3"/>
  <c r="I147" i="3"/>
  <c r="H147" i="3"/>
  <c r="G147" i="3"/>
  <c r="F147" i="3"/>
  <c r="E147" i="3"/>
  <c r="D147" i="3"/>
  <c r="C147" i="3"/>
  <c r="B147" i="3"/>
  <c r="L146" i="3"/>
  <c r="K146" i="3"/>
  <c r="J146" i="3"/>
  <c r="I146" i="3"/>
  <c r="H146" i="3"/>
  <c r="G146" i="3"/>
  <c r="F146" i="3"/>
  <c r="E146" i="3"/>
  <c r="D146" i="3"/>
  <c r="C146" i="3"/>
  <c r="B146" i="3"/>
  <c r="L145" i="3"/>
  <c r="K145" i="3"/>
  <c r="J145" i="3"/>
  <c r="I145" i="3"/>
  <c r="H145" i="3"/>
  <c r="G145" i="3"/>
  <c r="F145" i="3"/>
  <c r="E145" i="3"/>
  <c r="D145" i="3"/>
  <c r="C145" i="3"/>
  <c r="B145" i="3"/>
  <c r="L144" i="3"/>
  <c r="K144" i="3"/>
  <c r="J144" i="3"/>
  <c r="I144" i="3"/>
  <c r="H144" i="3"/>
  <c r="G144" i="3"/>
  <c r="F144" i="3"/>
  <c r="E144" i="3"/>
  <c r="D144" i="3"/>
  <c r="C144" i="3"/>
  <c r="B144" i="3"/>
  <c r="L143" i="3"/>
  <c r="K143" i="3"/>
  <c r="J143" i="3"/>
  <c r="I143" i="3"/>
  <c r="H143" i="3"/>
  <c r="G143" i="3"/>
  <c r="F143" i="3"/>
  <c r="E143" i="3"/>
  <c r="D143" i="3"/>
  <c r="C143" i="3"/>
  <c r="B143" i="3"/>
  <c r="L142" i="3"/>
  <c r="K142" i="3"/>
  <c r="J142" i="3"/>
  <c r="I142" i="3"/>
  <c r="H142" i="3"/>
  <c r="G142" i="3"/>
  <c r="F142" i="3"/>
  <c r="E142" i="3"/>
  <c r="D142" i="3"/>
  <c r="C142" i="3"/>
  <c r="B142" i="3"/>
  <c r="L141" i="3"/>
  <c r="K141" i="3"/>
  <c r="J141" i="3"/>
  <c r="I141" i="3"/>
  <c r="H141" i="3"/>
  <c r="G141" i="3"/>
  <c r="F141" i="3"/>
  <c r="E141" i="3"/>
  <c r="D141" i="3"/>
  <c r="C141" i="3"/>
  <c r="B141" i="3"/>
  <c r="L140" i="3"/>
  <c r="K140" i="3"/>
  <c r="J140" i="3"/>
  <c r="I140" i="3"/>
  <c r="H140" i="3"/>
  <c r="G140" i="3"/>
  <c r="F140" i="3"/>
  <c r="E140" i="3"/>
  <c r="D140" i="3"/>
  <c r="C140" i="3"/>
  <c r="B140" i="3"/>
  <c r="L139" i="3"/>
  <c r="K139" i="3"/>
  <c r="J139" i="3"/>
  <c r="I139" i="3"/>
  <c r="H139" i="3"/>
  <c r="G139" i="3"/>
  <c r="F139" i="3"/>
  <c r="E139" i="3"/>
  <c r="D139" i="3"/>
  <c r="C139" i="3"/>
  <c r="B139" i="3"/>
  <c r="L138" i="3"/>
  <c r="K138" i="3"/>
  <c r="J138" i="3"/>
  <c r="I138" i="3"/>
  <c r="H138" i="3"/>
  <c r="G138" i="3"/>
  <c r="F138" i="3"/>
  <c r="E138" i="3"/>
  <c r="D138" i="3"/>
  <c r="C138" i="3"/>
  <c r="B138" i="3"/>
  <c r="L137" i="3"/>
  <c r="K137" i="3"/>
  <c r="J137" i="3"/>
  <c r="I137" i="3"/>
  <c r="H137" i="3"/>
  <c r="G137" i="3"/>
  <c r="F137" i="3"/>
  <c r="E137" i="3"/>
  <c r="D137" i="3"/>
  <c r="C137" i="3"/>
  <c r="B137" i="3"/>
  <c r="L136" i="3"/>
  <c r="K136" i="3"/>
  <c r="J136" i="3"/>
  <c r="I136" i="3"/>
  <c r="H136" i="3"/>
  <c r="G136" i="3"/>
  <c r="F136" i="3"/>
  <c r="E136" i="3"/>
  <c r="D136" i="3"/>
  <c r="C136" i="3"/>
  <c r="B136" i="3"/>
  <c r="L135" i="3"/>
  <c r="K135" i="3"/>
  <c r="J135" i="3"/>
  <c r="I135" i="3"/>
  <c r="H135" i="3"/>
  <c r="G135" i="3"/>
  <c r="F135" i="3"/>
  <c r="E135" i="3"/>
  <c r="D135" i="3"/>
  <c r="C135" i="3"/>
  <c r="B135" i="3"/>
  <c r="L134" i="3"/>
  <c r="K134" i="3"/>
  <c r="J134" i="3"/>
  <c r="I134" i="3"/>
  <c r="H134" i="3"/>
  <c r="G134" i="3"/>
  <c r="F134" i="3"/>
  <c r="E134" i="3"/>
  <c r="D134" i="3"/>
  <c r="C134" i="3"/>
  <c r="B134" i="3"/>
  <c r="L133" i="3"/>
  <c r="K133" i="3"/>
  <c r="J133" i="3"/>
  <c r="I133" i="3"/>
  <c r="H133" i="3"/>
  <c r="G133" i="3"/>
  <c r="F133" i="3"/>
  <c r="E133" i="3"/>
  <c r="D133" i="3"/>
  <c r="C133" i="3"/>
  <c r="B133" i="3"/>
  <c r="L132" i="3"/>
  <c r="K132" i="3"/>
  <c r="J132" i="3"/>
  <c r="I132" i="3"/>
  <c r="H132" i="3"/>
  <c r="G132" i="3"/>
  <c r="F132" i="3"/>
  <c r="E132" i="3"/>
  <c r="D132" i="3"/>
  <c r="C132" i="3"/>
  <c r="B132" i="3"/>
  <c r="L131" i="3"/>
  <c r="K131" i="3"/>
  <c r="J131" i="3"/>
  <c r="I131" i="3"/>
  <c r="H131" i="3"/>
  <c r="G131" i="3"/>
  <c r="F131" i="3"/>
  <c r="E131" i="3"/>
  <c r="D131" i="3"/>
  <c r="C131" i="3"/>
  <c r="B131" i="3"/>
  <c r="L130" i="3"/>
  <c r="K130" i="3"/>
  <c r="J130" i="3"/>
  <c r="I130" i="3"/>
  <c r="H130" i="3"/>
  <c r="G130" i="3"/>
  <c r="F130" i="3"/>
  <c r="E130" i="3"/>
  <c r="D130" i="3"/>
  <c r="C130" i="3"/>
  <c r="B130" i="3"/>
  <c r="L129" i="3"/>
  <c r="K129" i="3"/>
  <c r="J129" i="3"/>
  <c r="I129" i="3"/>
  <c r="H129" i="3"/>
  <c r="G129" i="3"/>
  <c r="F129" i="3"/>
  <c r="E129" i="3"/>
  <c r="D129" i="3"/>
  <c r="C129" i="3"/>
  <c r="B129" i="3"/>
  <c r="L128" i="3"/>
  <c r="K128" i="3"/>
  <c r="J128" i="3"/>
  <c r="I128" i="3"/>
  <c r="H128" i="3"/>
  <c r="G128" i="3"/>
  <c r="F128" i="3"/>
  <c r="E128" i="3"/>
  <c r="D128" i="3"/>
  <c r="C128" i="3"/>
  <c r="B128" i="3"/>
  <c r="L127" i="3"/>
  <c r="K127" i="3"/>
  <c r="J127" i="3"/>
  <c r="I127" i="3"/>
  <c r="H127" i="3"/>
  <c r="G127" i="3"/>
  <c r="F127" i="3"/>
  <c r="E127" i="3"/>
  <c r="D127" i="3"/>
  <c r="C127" i="3"/>
  <c r="B127" i="3"/>
  <c r="L126" i="3"/>
  <c r="K126" i="3"/>
  <c r="J126" i="3"/>
  <c r="I126" i="3"/>
  <c r="H126" i="3"/>
  <c r="G126" i="3"/>
  <c r="F126" i="3"/>
  <c r="E126" i="3"/>
  <c r="D126" i="3"/>
  <c r="C126" i="3"/>
  <c r="B126" i="3"/>
  <c r="L125" i="3"/>
  <c r="K125" i="3"/>
  <c r="J125" i="3"/>
  <c r="I125" i="3"/>
  <c r="H125" i="3"/>
  <c r="G125" i="3"/>
  <c r="F125" i="3"/>
  <c r="E125" i="3"/>
  <c r="D125" i="3"/>
  <c r="C125" i="3"/>
  <c r="B125" i="3"/>
  <c r="L124" i="3"/>
  <c r="K124" i="3"/>
  <c r="J124" i="3"/>
  <c r="I124" i="3"/>
  <c r="H124" i="3"/>
  <c r="G124" i="3"/>
  <c r="F124" i="3"/>
  <c r="E124" i="3"/>
  <c r="D124" i="3"/>
  <c r="C124" i="3"/>
  <c r="B124" i="3"/>
  <c r="L123" i="3"/>
  <c r="K123" i="3"/>
  <c r="J123" i="3"/>
  <c r="I123" i="3"/>
  <c r="H123" i="3"/>
  <c r="G123" i="3"/>
  <c r="F123" i="3"/>
  <c r="E123" i="3"/>
  <c r="D123" i="3"/>
  <c r="C123" i="3"/>
  <c r="B123" i="3"/>
  <c r="L122" i="3"/>
  <c r="K122" i="3"/>
  <c r="J122" i="3"/>
  <c r="I122" i="3"/>
  <c r="H122" i="3"/>
  <c r="G122" i="3"/>
  <c r="F122" i="3"/>
  <c r="E122" i="3"/>
  <c r="D122" i="3"/>
  <c r="C122" i="3"/>
  <c r="B122" i="3"/>
  <c r="L121" i="3"/>
  <c r="K121" i="3"/>
  <c r="J121" i="3"/>
  <c r="I121" i="3"/>
  <c r="H121" i="3"/>
  <c r="G121" i="3"/>
  <c r="F121" i="3"/>
  <c r="E121" i="3"/>
  <c r="D121" i="3"/>
  <c r="C121" i="3"/>
  <c r="B121" i="3"/>
  <c r="L120" i="3"/>
  <c r="K120" i="3"/>
  <c r="J120" i="3"/>
  <c r="I120" i="3"/>
  <c r="H120" i="3"/>
  <c r="G120" i="3"/>
  <c r="F120" i="3"/>
  <c r="E120" i="3"/>
  <c r="D120" i="3"/>
  <c r="C120" i="3"/>
  <c r="B120" i="3"/>
  <c r="L119" i="3"/>
  <c r="K119" i="3"/>
  <c r="J119" i="3"/>
  <c r="I119" i="3"/>
  <c r="H119" i="3"/>
  <c r="G119" i="3"/>
  <c r="F119" i="3"/>
  <c r="E119" i="3"/>
  <c r="D119" i="3"/>
  <c r="C119" i="3"/>
  <c r="B119" i="3"/>
  <c r="L118" i="3"/>
  <c r="K118" i="3"/>
  <c r="J118" i="3"/>
  <c r="I118" i="3"/>
  <c r="H118" i="3"/>
  <c r="G118" i="3"/>
  <c r="F118" i="3"/>
  <c r="E118" i="3"/>
  <c r="D118" i="3"/>
  <c r="C118" i="3"/>
  <c r="B118" i="3"/>
  <c r="L117" i="3"/>
  <c r="K117" i="3"/>
  <c r="J117" i="3"/>
  <c r="I117" i="3"/>
  <c r="H117" i="3"/>
  <c r="G117" i="3"/>
  <c r="F117" i="3"/>
  <c r="E117" i="3"/>
  <c r="D117" i="3"/>
  <c r="C117" i="3"/>
  <c r="B117" i="3"/>
  <c r="L116" i="3"/>
  <c r="K116" i="3"/>
  <c r="J116" i="3"/>
  <c r="I116" i="3"/>
  <c r="H116" i="3"/>
  <c r="G116" i="3"/>
  <c r="F116" i="3"/>
  <c r="E116" i="3"/>
  <c r="D116" i="3"/>
  <c r="C116" i="3"/>
  <c r="B116" i="3"/>
  <c r="L115" i="3"/>
  <c r="K115" i="3"/>
  <c r="J115" i="3"/>
  <c r="I115" i="3"/>
  <c r="H115" i="3"/>
  <c r="G115" i="3"/>
  <c r="F115" i="3"/>
  <c r="E115" i="3"/>
  <c r="D115" i="3"/>
  <c r="C115" i="3"/>
  <c r="B115" i="3"/>
  <c r="L114" i="3"/>
  <c r="K114" i="3"/>
  <c r="J114" i="3"/>
  <c r="I114" i="3"/>
  <c r="H114" i="3"/>
  <c r="G114" i="3"/>
  <c r="F114" i="3"/>
  <c r="E114" i="3"/>
  <c r="D114" i="3"/>
  <c r="C114" i="3"/>
  <c r="B114" i="3"/>
  <c r="L113" i="3"/>
  <c r="K113" i="3"/>
  <c r="J113" i="3"/>
  <c r="I113" i="3"/>
  <c r="H113" i="3"/>
  <c r="G113" i="3"/>
  <c r="F113" i="3"/>
  <c r="E113" i="3"/>
  <c r="D113" i="3"/>
  <c r="C113" i="3"/>
  <c r="B113" i="3"/>
  <c r="L112" i="3"/>
  <c r="K112" i="3"/>
  <c r="J112" i="3"/>
  <c r="I112" i="3"/>
  <c r="H112" i="3"/>
  <c r="G112" i="3"/>
  <c r="F112" i="3"/>
  <c r="E112" i="3"/>
  <c r="D112" i="3"/>
  <c r="C112" i="3"/>
  <c r="B112" i="3"/>
  <c r="L111" i="3"/>
  <c r="K111" i="3"/>
  <c r="J111" i="3"/>
  <c r="I111" i="3"/>
  <c r="H111" i="3"/>
  <c r="G111" i="3"/>
  <c r="F111" i="3"/>
  <c r="E111" i="3"/>
  <c r="D111" i="3"/>
  <c r="C111" i="3"/>
  <c r="B111" i="3"/>
  <c r="L110" i="3"/>
  <c r="K110" i="3"/>
  <c r="J110" i="3"/>
  <c r="I110" i="3"/>
  <c r="H110" i="3"/>
  <c r="G110" i="3"/>
  <c r="F110" i="3"/>
  <c r="E110" i="3"/>
  <c r="D110" i="3"/>
  <c r="C110" i="3"/>
  <c r="B110" i="3"/>
  <c r="L109" i="3"/>
  <c r="K109" i="3"/>
  <c r="J109" i="3"/>
  <c r="I109" i="3"/>
  <c r="H109" i="3"/>
  <c r="G109" i="3"/>
  <c r="F109" i="3"/>
  <c r="E109" i="3"/>
  <c r="D109" i="3"/>
  <c r="C109" i="3"/>
  <c r="B109" i="3"/>
  <c r="L108" i="3"/>
  <c r="K108" i="3"/>
  <c r="J108" i="3"/>
  <c r="I108" i="3"/>
  <c r="H108" i="3"/>
  <c r="G108" i="3"/>
  <c r="F108" i="3"/>
  <c r="E108" i="3"/>
  <c r="D108" i="3"/>
  <c r="C108" i="3"/>
  <c r="B108" i="3"/>
  <c r="L107" i="3"/>
  <c r="K107" i="3"/>
  <c r="J107" i="3"/>
  <c r="I107" i="3"/>
  <c r="H107" i="3"/>
  <c r="G107" i="3"/>
  <c r="F107" i="3"/>
  <c r="E107" i="3"/>
  <c r="D107" i="3"/>
  <c r="C107" i="3"/>
  <c r="B107" i="3"/>
  <c r="L106" i="3"/>
  <c r="K106" i="3"/>
  <c r="J106" i="3"/>
  <c r="I106" i="3"/>
  <c r="H106" i="3"/>
  <c r="G106" i="3"/>
  <c r="F106" i="3"/>
  <c r="E106" i="3"/>
  <c r="D106" i="3"/>
  <c r="C106" i="3"/>
  <c r="B106" i="3"/>
  <c r="L105" i="3"/>
  <c r="K105" i="3"/>
  <c r="J105" i="3"/>
  <c r="I105" i="3"/>
  <c r="H105" i="3"/>
  <c r="G105" i="3"/>
  <c r="F105" i="3"/>
  <c r="E105" i="3"/>
  <c r="D105" i="3"/>
  <c r="C105" i="3"/>
  <c r="B105" i="3"/>
  <c r="L104" i="3"/>
  <c r="K104" i="3"/>
  <c r="J104" i="3"/>
  <c r="I104" i="3"/>
  <c r="H104" i="3"/>
  <c r="G104" i="3"/>
  <c r="F104" i="3"/>
  <c r="E104" i="3"/>
  <c r="D104" i="3"/>
  <c r="C104" i="3"/>
  <c r="B104" i="3"/>
  <c r="L103" i="3"/>
  <c r="K103" i="3"/>
  <c r="J103" i="3"/>
  <c r="I103" i="3"/>
  <c r="H103" i="3"/>
  <c r="G103" i="3"/>
  <c r="F103" i="3"/>
  <c r="E103" i="3"/>
  <c r="D103" i="3"/>
  <c r="C103" i="3"/>
  <c r="B103" i="3"/>
  <c r="L102" i="3"/>
  <c r="K102" i="3"/>
  <c r="J102" i="3"/>
  <c r="I102" i="3"/>
  <c r="H102" i="3"/>
  <c r="G102" i="3"/>
  <c r="F102" i="3"/>
  <c r="E102" i="3"/>
  <c r="D102" i="3"/>
  <c r="C102" i="3"/>
  <c r="B102" i="3"/>
  <c r="L101" i="3"/>
  <c r="K101" i="3"/>
  <c r="J101" i="3"/>
  <c r="I101" i="3"/>
  <c r="H101" i="3"/>
  <c r="G101" i="3"/>
  <c r="F101" i="3"/>
  <c r="E101" i="3"/>
  <c r="D101" i="3"/>
  <c r="C101" i="3"/>
  <c r="B101" i="3"/>
  <c r="L100" i="3"/>
  <c r="K100" i="3"/>
  <c r="J100" i="3"/>
  <c r="I100" i="3"/>
  <c r="H100" i="3"/>
  <c r="G100" i="3"/>
  <c r="F100" i="3"/>
  <c r="E100" i="3"/>
  <c r="D100" i="3"/>
  <c r="C100" i="3"/>
  <c r="B100" i="3"/>
  <c r="L99" i="3"/>
  <c r="K99" i="3"/>
  <c r="J99" i="3"/>
  <c r="I99" i="3"/>
  <c r="H99" i="3"/>
  <c r="G99" i="3"/>
  <c r="F99" i="3"/>
  <c r="E99" i="3"/>
  <c r="D99" i="3"/>
  <c r="C99" i="3"/>
  <c r="B99" i="3"/>
  <c r="L98" i="3"/>
  <c r="K98" i="3"/>
  <c r="J98" i="3"/>
  <c r="I98" i="3"/>
  <c r="H98" i="3"/>
  <c r="G98" i="3"/>
  <c r="F98" i="3"/>
  <c r="E98" i="3"/>
  <c r="D98" i="3"/>
  <c r="C98" i="3"/>
  <c r="B98" i="3"/>
  <c r="L97" i="3"/>
  <c r="K97" i="3"/>
  <c r="J97" i="3"/>
  <c r="I97" i="3"/>
  <c r="H97" i="3"/>
  <c r="G97" i="3"/>
  <c r="F97" i="3"/>
  <c r="E97" i="3"/>
  <c r="D97" i="3"/>
  <c r="C97" i="3"/>
  <c r="B97" i="3"/>
  <c r="L96" i="3"/>
  <c r="K96" i="3"/>
  <c r="J96" i="3"/>
  <c r="I96" i="3"/>
  <c r="H96" i="3"/>
  <c r="G96" i="3"/>
  <c r="F96" i="3"/>
  <c r="E96" i="3"/>
  <c r="D96" i="3"/>
  <c r="C96" i="3"/>
  <c r="B96" i="3"/>
  <c r="L95" i="3"/>
  <c r="K95" i="3"/>
  <c r="J95" i="3"/>
  <c r="I95" i="3"/>
  <c r="H95" i="3"/>
  <c r="G95" i="3"/>
  <c r="F95" i="3"/>
  <c r="E95" i="3"/>
  <c r="D95" i="3"/>
  <c r="C95" i="3"/>
  <c r="B95" i="3"/>
  <c r="L94" i="3"/>
  <c r="K94" i="3"/>
  <c r="J94" i="3"/>
  <c r="I94" i="3"/>
  <c r="H94" i="3"/>
  <c r="G94" i="3"/>
  <c r="F94" i="3"/>
  <c r="E94" i="3"/>
  <c r="D94" i="3"/>
  <c r="C94" i="3"/>
  <c r="B94" i="3"/>
  <c r="L93" i="3"/>
  <c r="K93" i="3"/>
  <c r="J93" i="3"/>
  <c r="I93" i="3"/>
  <c r="H93" i="3"/>
  <c r="G93" i="3"/>
  <c r="F93" i="3"/>
  <c r="E93" i="3"/>
  <c r="D93" i="3"/>
  <c r="C93" i="3"/>
  <c r="B93" i="3"/>
  <c r="L92" i="3"/>
  <c r="K92" i="3"/>
  <c r="J92" i="3"/>
  <c r="I92" i="3"/>
  <c r="H92" i="3"/>
  <c r="G92" i="3"/>
  <c r="F92" i="3"/>
  <c r="E92" i="3"/>
  <c r="D92" i="3"/>
  <c r="C92" i="3"/>
  <c r="B92" i="3"/>
  <c r="L91" i="3"/>
  <c r="K91" i="3"/>
  <c r="J91" i="3"/>
  <c r="I91" i="3"/>
  <c r="H91" i="3"/>
  <c r="G91" i="3"/>
  <c r="F91" i="3"/>
  <c r="E91" i="3"/>
  <c r="D91" i="3"/>
  <c r="C91" i="3"/>
  <c r="B91" i="3"/>
  <c r="L90" i="3"/>
  <c r="K90" i="3"/>
  <c r="J90" i="3"/>
  <c r="I90" i="3"/>
  <c r="H90" i="3"/>
  <c r="G90" i="3"/>
  <c r="F90" i="3"/>
  <c r="E90" i="3"/>
  <c r="D90" i="3"/>
  <c r="C90" i="3"/>
  <c r="B90" i="3"/>
  <c r="L89" i="3"/>
  <c r="K89" i="3"/>
  <c r="J89" i="3"/>
  <c r="I89" i="3"/>
  <c r="H89" i="3"/>
  <c r="G89" i="3"/>
  <c r="F89" i="3"/>
  <c r="E89" i="3"/>
  <c r="D89" i="3"/>
  <c r="C89" i="3"/>
  <c r="B89" i="3"/>
  <c r="L88" i="3"/>
  <c r="K88" i="3"/>
  <c r="J88" i="3"/>
  <c r="I88" i="3"/>
  <c r="H88" i="3"/>
  <c r="G88" i="3"/>
  <c r="F88" i="3"/>
  <c r="E88" i="3"/>
  <c r="D88" i="3"/>
  <c r="C88" i="3"/>
  <c r="B88" i="3"/>
  <c r="L87" i="3"/>
  <c r="K87" i="3"/>
  <c r="J87" i="3"/>
  <c r="I87" i="3"/>
  <c r="H87" i="3"/>
  <c r="G87" i="3"/>
  <c r="F87" i="3"/>
  <c r="E87" i="3"/>
  <c r="D87" i="3"/>
  <c r="C87" i="3"/>
  <c r="B87" i="3"/>
  <c r="L86" i="3"/>
  <c r="K86" i="3"/>
  <c r="J86" i="3"/>
  <c r="I86" i="3"/>
  <c r="H86" i="3"/>
  <c r="G86" i="3"/>
  <c r="F86" i="3"/>
  <c r="E86" i="3"/>
  <c r="D86" i="3"/>
  <c r="C86" i="3"/>
  <c r="B86" i="3"/>
  <c r="L85" i="3"/>
  <c r="K85" i="3"/>
  <c r="J85" i="3"/>
  <c r="I85" i="3"/>
  <c r="H85" i="3"/>
  <c r="G85" i="3"/>
  <c r="F85" i="3"/>
  <c r="E85" i="3"/>
  <c r="D85" i="3"/>
  <c r="C85" i="3"/>
  <c r="B85" i="3"/>
  <c r="L84" i="3"/>
  <c r="K84" i="3"/>
  <c r="J84" i="3"/>
  <c r="I84" i="3"/>
  <c r="H84" i="3"/>
  <c r="G84" i="3"/>
  <c r="F84" i="3"/>
  <c r="E84" i="3"/>
  <c r="D84" i="3"/>
  <c r="C84" i="3"/>
  <c r="B84" i="3"/>
  <c r="L83" i="3"/>
  <c r="K83" i="3"/>
  <c r="J83" i="3"/>
  <c r="I83" i="3"/>
  <c r="H83" i="3"/>
  <c r="G83" i="3"/>
  <c r="F83" i="3"/>
  <c r="E83" i="3"/>
  <c r="D83" i="3"/>
  <c r="C83" i="3"/>
  <c r="B83" i="3"/>
  <c r="L82" i="3"/>
  <c r="K82" i="3"/>
  <c r="J82" i="3"/>
  <c r="I82" i="3"/>
  <c r="H82" i="3"/>
  <c r="G82" i="3"/>
  <c r="F82" i="3"/>
  <c r="E82" i="3"/>
  <c r="D82" i="3"/>
  <c r="C82" i="3"/>
  <c r="B82" i="3"/>
  <c r="L81" i="3"/>
  <c r="K81" i="3"/>
  <c r="J81" i="3"/>
  <c r="I81" i="3"/>
  <c r="H81" i="3"/>
  <c r="G81" i="3"/>
  <c r="F81" i="3"/>
  <c r="E81" i="3"/>
  <c r="D81" i="3"/>
  <c r="C81" i="3"/>
  <c r="B81" i="3"/>
  <c r="L80" i="3"/>
  <c r="K80" i="3"/>
  <c r="J80" i="3"/>
  <c r="I80" i="3"/>
  <c r="H80" i="3"/>
  <c r="G80" i="3"/>
  <c r="F80" i="3"/>
  <c r="E80" i="3"/>
  <c r="D80" i="3"/>
  <c r="C80" i="3"/>
  <c r="B80" i="3"/>
  <c r="L79" i="3"/>
  <c r="K79" i="3"/>
  <c r="J79" i="3"/>
  <c r="I79" i="3"/>
  <c r="H79" i="3"/>
  <c r="G79" i="3"/>
  <c r="F79" i="3"/>
  <c r="E79" i="3"/>
  <c r="D79" i="3"/>
  <c r="C79" i="3"/>
  <c r="B79" i="3"/>
  <c r="L78" i="3"/>
  <c r="K78" i="3"/>
  <c r="J78" i="3"/>
  <c r="I78" i="3"/>
  <c r="H78" i="3"/>
  <c r="G78" i="3"/>
  <c r="F78" i="3"/>
  <c r="E78" i="3"/>
  <c r="D78" i="3"/>
  <c r="C78" i="3"/>
  <c r="B78" i="3"/>
  <c r="L77" i="3"/>
  <c r="K77" i="3"/>
  <c r="J77" i="3"/>
  <c r="I77" i="3"/>
  <c r="H77" i="3"/>
  <c r="G77" i="3"/>
  <c r="F77" i="3"/>
  <c r="E77" i="3"/>
  <c r="D77" i="3"/>
  <c r="C77" i="3"/>
  <c r="B77" i="3"/>
  <c r="L76" i="3"/>
  <c r="K76" i="3"/>
  <c r="J76" i="3"/>
  <c r="I76" i="3"/>
  <c r="H76" i="3"/>
  <c r="G76" i="3"/>
  <c r="F76" i="3"/>
  <c r="E76" i="3"/>
  <c r="D76" i="3"/>
  <c r="C76" i="3"/>
  <c r="B76" i="3"/>
  <c r="L75" i="3"/>
  <c r="K75" i="3"/>
  <c r="J75" i="3"/>
  <c r="I75" i="3"/>
  <c r="H75" i="3"/>
  <c r="G75" i="3"/>
  <c r="F75" i="3"/>
  <c r="E75" i="3"/>
  <c r="D75" i="3"/>
  <c r="C75" i="3"/>
  <c r="B75" i="3"/>
  <c r="L74" i="3"/>
  <c r="K74" i="3"/>
  <c r="J74" i="3"/>
  <c r="I74" i="3"/>
  <c r="H74" i="3"/>
  <c r="G74" i="3"/>
  <c r="F74" i="3"/>
  <c r="E74" i="3"/>
  <c r="D74" i="3"/>
  <c r="C74" i="3"/>
  <c r="B74" i="3"/>
  <c r="L73" i="3"/>
  <c r="K73" i="3"/>
  <c r="J73" i="3"/>
  <c r="I73" i="3"/>
  <c r="H73" i="3"/>
  <c r="G73" i="3"/>
  <c r="F73" i="3"/>
  <c r="E73" i="3"/>
  <c r="D73" i="3"/>
  <c r="C73" i="3"/>
  <c r="B73" i="3"/>
  <c r="L72" i="3"/>
  <c r="K72" i="3"/>
  <c r="J72" i="3"/>
  <c r="I72" i="3"/>
  <c r="H72" i="3"/>
  <c r="G72" i="3"/>
  <c r="F72" i="3"/>
  <c r="E72" i="3"/>
  <c r="D72" i="3"/>
  <c r="C72" i="3"/>
  <c r="B72" i="3"/>
  <c r="L71" i="3"/>
  <c r="K71" i="3"/>
  <c r="J71" i="3"/>
  <c r="I71" i="3"/>
  <c r="H71" i="3"/>
  <c r="G71" i="3"/>
  <c r="F71" i="3"/>
  <c r="E71" i="3"/>
  <c r="D71" i="3"/>
  <c r="C71" i="3"/>
  <c r="B71" i="3"/>
  <c r="L70" i="3"/>
  <c r="K70" i="3"/>
  <c r="J70" i="3"/>
  <c r="I70" i="3"/>
  <c r="H70" i="3"/>
  <c r="G70" i="3"/>
  <c r="F70" i="3"/>
  <c r="E70" i="3"/>
  <c r="D70" i="3"/>
  <c r="C70" i="3"/>
  <c r="B70" i="3"/>
  <c r="L69" i="3"/>
  <c r="K69" i="3"/>
  <c r="J69" i="3"/>
  <c r="I69" i="3"/>
  <c r="H69" i="3"/>
  <c r="G69" i="3"/>
  <c r="F69" i="3"/>
  <c r="E69" i="3"/>
  <c r="D69" i="3"/>
  <c r="C69" i="3"/>
  <c r="B69" i="3"/>
  <c r="L68" i="3"/>
  <c r="K68" i="3"/>
  <c r="J68" i="3"/>
  <c r="I68" i="3"/>
  <c r="H68" i="3"/>
  <c r="G68" i="3"/>
  <c r="F68" i="3"/>
  <c r="E68" i="3"/>
  <c r="D68" i="3"/>
  <c r="C68" i="3"/>
  <c r="B68" i="3"/>
  <c r="L67" i="3"/>
  <c r="K67" i="3"/>
  <c r="J67" i="3"/>
  <c r="I67" i="3"/>
  <c r="H67" i="3"/>
  <c r="G67" i="3"/>
  <c r="F67" i="3"/>
  <c r="E67" i="3"/>
  <c r="D67" i="3"/>
  <c r="C67" i="3"/>
  <c r="B67" i="3"/>
  <c r="L66" i="3"/>
  <c r="K66" i="3"/>
  <c r="J66" i="3"/>
  <c r="I66" i="3"/>
  <c r="H66" i="3"/>
  <c r="G66" i="3"/>
  <c r="F66" i="3"/>
  <c r="E66" i="3"/>
  <c r="D66" i="3"/>
  <c r="C66" i="3"/>
  <c r="B66" i="3"/>
  <c r="L65" i="3"/>
  <c r="K65" i="3"/>
  <c r="J65" i="3"/>
  <c r="I65" i="3"/>
  <c r="H65" i="3"/>
  <c r="G65" i="3"/>
  <c r="F65" i="3"/>
  <c r="E65" i="3"/>
  <c r="D65" i="3"/>
  <c r="C65" i="3"/>
  <c r="B65" i="3"/>
  <c r="L64" i="3"/>
  <c r="K64" i="3"/>
  <c r="J64" i="3"/>
  <c r="I64" i="3"/>
  <c r="H64" i="3"/>
  <c r="G64" i="3"/>
  <c r="F64" i="3"/>
  <c r="E64" i="3"/>
  <c r="D64" i="3"/>
  <c r="C64" i="3"/>
  <c r="B64" i="3"/>
  <c r="L63" i="3"/>
  <c r="K63" i="3"/>
  <c r="J63" i="3"/>
  <c r="I63" i="3"/>
  <c r="H63" i="3"/>
  <c r="G63" i="3"/>
  <c r="F63" i="3"/>
  <c r="E63" i="3"/>
  <c r="D63" i="3"/>
  <c r="C63" i="3"/>
  <c r="B63" i="3"/>
  <c r="L62" i="3"/>
  <c r="K62" i="3"/>
  <c r="J62" i="3"/>
  <c r="I62" i="3"/>
  <c r="H62" i="3"/>
  <c r="G62" i="3"/>
  <c r="F62" i="3"/>
  <c r="E62" i="3"/>
  <c r="D62" i="3"/>
  <c r="C62" i="3"/>
  <c r="B62" i="3"/>
  <c r="L61" i="3"/>
  <c r="K61" i="3"/>
  <c r="J61" i="3"/>
  <c r="I61" i="3"/>
  <c r="H61" i="3"/>
  <c r="G61" i="3"/>
  <c r="F61" i="3"/>
  <c r="E61" i="3"/>
  <c r="D61" i="3"/>
  <c r="C61" i="3"/>
  <c r="B61" i="3"/>
  <c r="L60" i="3"/>
  <c r="K60" i="3"/>
  <c r="J60" i="3"/>
  <c r="I60" i="3"/>
  <c r="H60" i="3"/>
  <c r="G60" i="3"/>
  <c r="F60" i="3"/>
  <c r="E60" i="3"/>
  <c r="D60" i="3"/>
  <c r="C60" i="3"/>
  <c r="B60" i="3"/>
  <c r="L59" i="3"/>
  <c r="K59" i="3"/>
  <c r="J59" i="3"/>
  <c r="I59" i="3"/>
  <c r="H59" i="3"/>
  <c r="G59" i="3"/>
  <c r="F59" i="3"/>
  <c r="E59" i="3"/>
  <c r="D59" i="3"/>
  <c r="C59" i="3"/>
  <c r="B59" i="3"/>
  <c r="L58" i="3"/>
  <c r="K58" i="3"/>
  <c r="J58" i="3"/>
  <c r="I58" i="3"/>
  <c r="H58" i="3"/>
  <c r="G58" i="3"/>
  <c r="F58" i="3"/>
  <c r="E58" i="3"/>
  <c r="D58" i="3"/>
  <c r="C58" i="3"/>
  <c r="B58" i="3"/>
  <c r="L57" i="3"/>
  <c r="K57" i="3"/>
  <c r="J57" i="3"/>
  <c r="I57" i="3"/>
  <c r="H57" i="3"/>
  <c r="G57" i="3"/>
  <c r="F57" i="3"/>
  <c r="E57" i="3"/>
  <c r="D57" i="3"/>
  <c r="C57" i="3"/>
  <c r="B57" i="3"/>
  <c r="L56" i="3"/>
  <c r="K56" i="3"/>
  <c r="J56" i="3"/>
  <c r="I56" i="3"/>
  <c r="H56" i="3"/>
  <c r="G56" i="3"/>
  <c r="F56" i="3"/>
  <c r="E56" i="3"/>
  <c r="D56" i="3"/>
  <c r="C56" i="3"/>
  <c r="B56" i="3"/>
  <c r="L55" i="3"/>
  <c r="K55" i="3"/>
  <c r="J55" i="3"/>
  <c r="I55" i="3"/>
  <c r="H55" i="3"/>
  <c r="G55" i="3"/>
  <c r="F55" i="3"/>
  <c r="E55" i="3"/>
  <c r="D55" i="3"/>
  <c r="C55" i="3"/>
  <c r="B55" i="3"/>
  <c r="L54" i="3"/>
  <c r="K54" i="3"/>
  <c r="J54" i="3"/>
  <c r="I54" i="3"/>
  <c r="H54" i="3"/>
  <c r="G54" i="3"/>
  <c r="F54" i="3"/>
  <c r="E54" i="3"/>
  <c r="D54" i="3"/>
  <c r="C54" i="3"/>
  <c r="B54" i="3"/>
  <c r="L53" i="3"/>
  <c r="K53" i="3"/>
  <c r="J53" i="3"/>
  <c r="I53" i="3"/>
  <c r="H53" i="3"/>
  <c r="G53" i="3"/>
  <c r="F53" i="3"/>
  <c r="E53" i="3"/>
  <c r="D53" i="3"/>
  <c r="C53" i="3"/>
  <c r="B53" i="3"/>
  <c r="L52" i="3"/>
  <c r="K52" i="3"/>
  <c r="J52" i="3"/>
  <c r="I52" i="3"/>
  <c r="H52" i="3"/>
  <c r="G52" i="3"/>
  <c r="F52" i="3"/>
  <c r="E52" i="3"/>
  <c r="D52" i="3"/>
  <c r="C52" i="3"/>
  <c r="B52" i="3"/>
  <c r="L51" i="3"/>
  <c r="K51" i="3"/>
  <c r="J51" i="3"/>
  <c r="I51" i="3"/>
  <c r="H51" i="3"/>
  <c r="G51" i="3"/>
  <c r="F51" i="3"/>
  <c r="E51" i="3"/>
  <c r="D51" i="3"/>
  <c r="C51" i="3"/>
  <c r="B51" i="3"/>
  <c r="L50" i="3"/>
  <c r="K50" i="3"/>
  <c r="J50" i="3"/>
  <c r="I50" i="3"/>
  <c r="H50" i="3"/>
  <c r="G50" i="3"/>
  <c r="F50" i="3"/>
  <c r="E50" i="3"/>
  <c r="D50" i="3"/>
  <c r="C50" i="3"/>
  <c r="B50" i="3"/>
  <c r="L49" i="3"/>
  <c r="K49" i="3"/>
  <c r="J49" i="3"/>
  <c r="I49" i="3"/>
  <c r="H49" i="3"/>
  <c r="G49" i="3"/>
  <c r="F49" i="3"/>
  <c r="E49" i="3"/>
  <c r="D49" i="3"/>
  <c r="C49" i="3"/>
  <c r="B49" i="3"/>
  <c r="L48" i="3"/>
  <c r="K48" i="3"/>
  <c r="J48" i="3"/>
  <c r="I48" i="3"/>
  <c r="H48" i="3"/>
  <c r="G48" i="3"/>
  <c r="F48" i="3"/>
  <c r="E48" i="3"/>
  <c r="D48" i="3"/>
  <c r="C48" i="3"/>
  <c r="B48" i="3"/>
  <c r="L47" i="3"/>
  <c r="K47" i="3"/>
  <c r="J47" i="3"/>
  <c r="I47" i="3"/>
  <c r="H47" i="3"/>
  <c r="G47" i="3"/>
  <c r="F47" i="3"/>
  <c r="E47" i="3"/>
  <c r="D47" i="3"/>
  <c r="C47" i="3"/>
  <c r="B47" i="3"/>
  <c r="L46" i="3"/>
  <c r="K46" i="3"/>
  <c r="J46" i="3"/>
  <c r="I46" i="3"/>
  <c r="H46" i="3"/>
  <c r="G46" i="3"/>
  <c r="F46" i="3"/>
  <c r="E46" i="3"/>
  <c r="D46" i="3"/>
  <c r="C46" i="3"/>
  <c r="B46" i="3"/>
  <c r="L45" i="3"/>
  <c r="K45" i="3"/>
  <c r="J45" i="3"/>
  <c r="I45" i="3"/>
  <c r="H45" i="3"/>
  <c r="G45" i="3"/>
  <c r="F45" i="3"/>
  <c r="E45" i="3"/>
  <c r="D45" i="3"/>
  <c r="C45" i="3"/>
  <c r="B45" i="3"/>
  <c r="L44" i="3"/>
  <c r="K44" i="3"/>
  <c r="J44" i="3"/>
  <c r="I44" i="3"/>
  <c r="H44" i="3"/>
  <c r="G44" i="3"/>
  <c r="F44" i="3"/>
  <c r="E44" i="3"/>
  <c r="D44" i="3"/>
  <c r="C44" i="3"/>
  <c r="B44" i="3"/>
  <c r="L43" i="3"/>
  <c r="K43" i="3"/>
  <c r="J43" i="3"/>
  <c r="I43" i="3"/>
  <c r="H43" i="3"/>
  <c r="G43" i="3"/>
  <c r="F43" i="3"/>
  <c r="E43" i="3"/>
  <c r="D43" i="3"/>
  <c r="C43" i="3"/>
  <c r="B43" i="3"/>
  <c r="L42" i="3"/>
  <c r="K42" i="3"/>
  <c r="J42" i="3"/>
  <c r="I42" i="3"/>
  <c r="H42" i="3"/>
  <c r="G42" i="3"/>
  <c r="F42" i="3"/>
  <c r="E42" i="3"/>
  <c r="D42" i="3"/>
  <c r="C42" i="3"/>
  <c r="B42" i="3"/>
  <c r="L41" i="3"/>
  <c r="K41" i="3"/>
  <c r="J41" i="3"/>
  <c r="I41" i="3"/>
  <c r="H41" i="3"/>
  <c r="G41" i="3"/>
  <c r="F41" i="3"/>
  <c r="E41" i="3"/>
  <c r="D41" i="3"/>
  <c r="C41" i="3"/>
  <c r="B41" i="3"/>
  <c r="L40" i="3"/>
  <c r="K40" i="3"/>
  <c r="J40" i="3"/>
  <c r="I40" i="3"/>
  <c r="H40" i="3"/>
  <c r="G40" i="3"/>
  <c r="F40" i="3"/>
  <c r="E40" i="3"/>
  <c r="D40" i="3"/>
  <c r="C40" i="3"/>
  <c r="B40" i="3"/>
  <c r="L39" i="3"/>
  <c r="K39" i="3"/>
  <c r="J39" i="3"/>
  <c r="I39" i="3"/>
  <c r="H39" i="3"/>
  <c r="G39" i="3"/>
  <c r="F39" i="3"/>
  <c r="E39" i="3"/>
  <c r="D39" i="3"/>
  <c r="C39" i="3"/>
  <c r="B39" i="3"/>
  <c r="L38" i="3"/>
  <c r="K38" i="3"/>
  <c r="J38" i="3"/>
  <c r="I38" i="3"/>
  <c r="H38" i="3"/>
  <c r="G38" i="3"/>
  <c r="F38" i="3"/>
  <c r="E38" i="3"/>
  <c r="D38" i="3"/>
  <c r="C38" i="3"/>
  <c r="B38" i="3"/>
  <c r="L37" i="3"/>
  <c r="K37" i="3"/>
  <c r="J37" i="3"/>
  <c r="I37" i="3"/>
  <c r="H37" i="3"/>
  <c r="G37" i="3"/>
  <c r="F37" i="3"/>
  <c r="E37" i="3"/>
  <c r="D37" i="3"/>
  <c r="C37" i="3"/>
  <c r="B37" i="3"/>
  <c r="L36" i="3"/>
  <c r="K36" i="3"/>
  <c r="J36" i="3"/>
  <c r="I36" i="3"/>
  <c r="H36" i="3"/>
  <c r="G36" i="3"/>
  <c r="F36" i="3"/>
  <c r="E36" i="3"/>
  <c r="D36" i="3"/>
  <c r="C36" i="3"/>
  <c r="B36" i="3"/>
  <c r="L35" i="3"/>
  <c r="K35" i="3"/>
  <c r="J35" i="3"/>
  <c r="I35" i="3"/>
  <c r="H35" i="3"/>
  <c r="G35" i="3"/>
  <c r="F35" i="3"/>
  <c r="E35" i="3"/>
  <c r="D35" i="3"/>
  <c r="C35" i="3"/>
  <c r="B35" i="3"/>
  <c r="L34" i="3"/>
  <c r="K34" i="3"/>
  <c r="J34" i="3"/>
  <c r="I34" i="3"/>
  <c r="H34" i="3"/>
  <c r="G34" i="3"/>
  <c r="F34" i="3"/>
  <c r="E34" i="3"/>
  <c r="D34" i="3"/>
  <c r="C34" i="3"/>
  <c r="B34" i="3"/>
  <c r="L33" i="3"/>
  <c r="K33" i="3"/>
  <c r="J33" i="3"/>
  <c r="I33" i="3"/>
  <c r="H33" i="3"/>
  <c r="G33" i="3"/>
  <c r="F33" i="3"/>
  <c r="E33" i="3"/>
  <c r="D33" i="3"/>
  <c r="C33" i="3"/>
  <c r="B33" i="3"/>
  <c r="L32" i="3"/>
  <c r="K32" i="3"/>
  <c r="J32" i="3"/>
  <c r="I32" i="3"/>
  <c r="H32" i="3"/>
  <c r="G32" i="3"/>
  <c r="F32" i="3"/>
  <c r="E32" i="3"/>
  <c r="D32" i="3"/>
  <c r="C32" i="3"/>
  <c r="B32" i="3"/>
  <c r="L31" i="3"/>
  <c r="K31" i="3"/>
  <c r="J31" i="3"/>
  <c r="I31" i="3"/>
  <c r="H31" i="3"/>
  <c r="G31" i="3"/>
  <c r="F31" i="3"/>
  <c r="E31" i="3"/>
  <c r="D31" i="3"/>
  <c r="C31" i="3"/>
  <c r="B31" i="3"/>
  <c r="L30" i="3"/>
  <c r="K30" i="3"/>
  <c r="J30" i="3"/>
  <c r="I30" i="3"/>
  <c r="H30" i="3"/>
  <c r="G30" i="3"/>
  <c r="F30" i="3"/>
  <c r="E30" i="3"/>
  <c r="D30" i="3"/>
  <c r="C30" i="3"/>
  <c r="B30" i="3"/>
  <c r="L29" i="3"/>
  <c r="K29" i="3"/>
  <c r="J29" i="3"/>
  <c r="I29" i="3"/>
  <c r="H29" i="3"/>
  <c r="G29" i="3"/>
  <c r="F29" i="3"/>
  <c r="E29" i="3"/>
  <c r="D29" i="3"/>
  <c r="C29" i="3"/>
  <c r="B29" i="3"/>
  <c r="L28" i="3"/>
  <c r="K28" i="3"/>
  <c r="J28" i="3"/>
  <c r="I28" i="3"/>
  <c r="H28" i="3"/>
  <c r="G28" i="3"/>
  <c r="F28" i="3"/>
  <c r="E28" i="3"/>
  <c r="D28" i="3"/>
  <c r="C28" i="3"/>
  <c r="B28" i="3"/>
  <c r="L27" i="3"/>
  <c r="K27" i="3"/>
  <c r="J27" i="3"/>
  <c r="I27" i="3"/>
  <c r="H27" i="3"/>
  <c r="G27" i="3"/>
  <c r="F27" i="3"/>
  <c r="E27" i="3"/>
  <c r="D27" i="3"/>
  <c r="C27" i="3"/>
  <c r="B27" i="3"/>
  <c r="L26" i="3"/>
  <c r="K26" i="3"/>
  <c r="J26" i="3"/>
  <c r="I26" i="3"/>
  <c r="H26" i="3"/>
  <c r="G26" i="3"/>
  <c r="F26" i="3"/>
  <c r="E26" i="3"/>
  <c r="D26" i="3"/>
  <c r="C26" i="3"/>
  <c r="B26" i="3"/>
  <c r="L25" i="3"/>
  <c r="K25" i="3"/>
  <c r="J25" i="3"/>
  <c r="I25" i="3"/>
  <c r="H25" i="3"/>
  <c r="G25" i="3"/>
  <c r="F25" i="3"/>
  <c r="E25" i="3"/>
  <c r="D25" i="3"/>
  <c r="C25" i="3"/>
  <c r="B25" i="3"/>
  <c r="L24" i="3"/>
  <c r="K24" i="3"/>
  <c r="J24" i="3"/>
  <c r="I24" i="3"/>
  <c r="H24" i="3"/>
  <c r="G24" i="3"/>
  <c r="F24" i="3"/>
  <c r="E24" i="3"/>
  <c r="D24" i="3"/>
  <c r="C24" i="3"/>
  <c r="B24" i="3"/>
  <c r="L23" i="3"/>
  <c r="K23" i="3"/>
  <c r="J23" i="3"/>
  <c r="I23" i="3"/>
  <c r="H23" i="3"/>
  <c r="G23" i="3"/>
  <c r="F23" i="3"/>
  <c r="E23" i="3"/>
  <c r="D23" i="3"/>
  <c r="C23" i="3"/>
  <c r="B23" i="3"/>
  <c r="L22" i="3"/>
  <c r="K22" i="3"/>
  <c r="J22" i="3"/>
  <c r="I22" i="3"/>
  <c r="H22" i="3"/>
  <c r="G22" i="3"/>
  <c r="F22" i="3"/>
  <c r="E22" i="3"/>
  <c r="D22" i="3"/>
  <c r="C22" i="3"/>
  <c r="B22" i="3"/>
  <c r="L21" i="3"/>
  <c r="K21" i="3"/>
  <c r="J21" i="3"/>
  <c r="I21" i="3"/>
  <c r="H21" i="3"/>
  <c r="G21" i="3"/>
  <c r="F21" i="3"/>
  <c r="E21" i="3"/>
  <c r="D21" i="3"/>
  <c r="C21" i="3"/>
  <c r="B21" i="3"/>
  <c r="L20" i="3"/>
  <c r="K20" i="3"/>
  <c r="J20" i="3"/>
  <c r="I20" i="3"/>
  <c r="H20" i="3"/>
  <c r="G20" i="3"/>
  <c r="F20" i="3"/>
  <c r="E20" i="3"/>
  <c r="D20" i="3"/>
  <c r="C20" i="3"/>
  <c r="B20" i="3"/>
  <c r="L19" i="3"/>
  <c r="K19" i="3"/>
  <c r="J19" i="3"/>
  <c r="I19" i="3"/>
  <c r="H19" i="3"/>
  <c r="G19" i="3"/>
  <c r="F19" i="3"/>
  <c r="E19" i="3"/>
  <c r="D19" i="3"/>
  <c r="C19" i="3"/>
  <c r="B19" i="3"/>
  <c r="L18" i="3"/>
  <c r="K18" i="3"/>
  <c r="J18" i="3"/>
  <c r="I18" i="3"/>
  <c r="H18" i="3"/>
  <c r="G18" i="3"/>
  <c r="F18" i="3"/>
  <c r="E18" i="3"/>
  <c r="D18" i="3"/>
  <c r="C18" i="3"/>
  <c r="B18" i="3"/>
  <c r="L17" i="3"/>
  <c r="K17" i="3"/>
  <c r="J17" i="3"/>
  <c r="I17" i="3"/>
  <c r="H17" i="3"/>
  <c r="G17" i="3"/>
  <c r="F17" i="3"/>
  <c r="E17" i="3"/>
  <c r="D17" i="3"/>
  <c r="C17" i="3"/>
  <c r="B17" i="3"/>
  <c r="L16" i="3"/>
  <c r="K16" i="3"/>
  <c r="J16" i="3"/>
  <c r="I16" i="3"/>
  <c r="H16" i="3"/>
  <c r="G16" i="3"/>
  <c r="F16" i="3"/>
  <c r="E16" i="3"/>
  <c r="D16" i="3"/>
  <c r="C16" i="3"/>
  <c r="B16" i="3"/>
  <c r="L15" i="3"/>
  <c r="K15" i="3"/>
  <c r="J15" i="3"/>
  <c r="I15" i="3"/>
  <c r="H15" i="3"/>
  <c r="G15" i="3"/>
  <c r="F15" i="3"/>
  <c r="E15" i="3"/>
  <c r="D15" i="3"/>
  <c r="C15" i="3"/>
  <c r="B15" i="3"/>
  <c r="L14" i="3"/>
  <c r="K14" i="3"/>
  <c r="J14" i="3"/>
  <c r="I14" i="3"/>
  <c r="H14" i="3"/>
  <c r="G14" i="3"/>
  <c r="F14" i="3"/>
  <c r="E14" i="3"/>
  <c r="D14" i="3"/>
  <c r="C14" i="3"/>
  <c r="B14" i="3"/>
  <c r="L13" i="3"/>
  <c r="K13" i="3"/>
  <c r="J13" i="3"/>
  <c r="I13" i="3"/>
  <c r="H13" i="3"/>
  <c r="G13" i="3"/>
  <c r="F13" i="3"/>
  <c r="E13" i="3"/>
  <c r="D13" i="3"/>
  <c r="C13" i="3"/>
  <c r="B13" i="3"/>
  <c r="L12" i="3"/>
  <c r="K12" i="3"/>
  <c r="J12" i="3"/>
  <c r="I12" i="3"/>
  <c r="H12" i="3"/>
  <c r="G12" i="3"/>
  <c r="F12" i="3"/>
  <c r="E12" i="3"/>
  <c r="D12" i="3"/>
  <c r="C12" i="3"/>
  <c r="B12" i="3"/>
  <c r="L11" i="3"/>
  <c r="K11" i="3"/>
  <c r="J11" i="3"/>
  <c r="I11" i="3"/>
  <c r="H11" i="3"/>
  <c r="G11" i="3"/>
  <c r="F11" i="3"/>
  <c r="E11" i="3"/>
  <c r="D11" i="3"/>
  <c r="C11" i="3"/>
  <c r="B11" i="3"/>
  <c r="L10" i="3"/>
  <c r="K10" i="3"/>
  <c r="J10" i="3"/>
  <c r="I10" i="3"/>
  <c r="H10" i="3"/>
  <c r="G10" i="3"/>
  <c r="F10" i="3"/>
  <c r="E10" i="3"/>
  <c r="D10" i="3"/>
  <c r="C10" i="3"/>
  <c r="B10" i="3"/>
  <c r="L9" i="3"/>
  <c r="K9" i="3"/>
  <c r="J9" i="3"/>
  <c r="I9" i="3"/>
  <c r="H9" i="3"/>
  <c r="G9" i="3"/>
  <c r="F9" i="3"/>
  <c r="E9" i="3"/>
  <c r="D9" i="3"/>
  <c r="C9" i="3"/>
  <c r="B9" i="3"/>
  <c r="L8" i="3"/>
  <c r="K8" i="3"/>
  <c r="J8" i="3"/>
  <c r="I8" i="3"/>
  <c r="H8" i="3"/>
  <c r="G8" i="3"/>
  <c r="F8" i="3"/>
  <c r="E8" i="3"/>
  <c r="D8" i="3"/>
  <c r="C8" i="3"/>
  <c r="B8" i="3"/>
  <c r="L7" i="3"/>
  <c r="K7" i="3"/>
  <c r="J7" i="3"/>
  <c r="I7" i="3"/>
  <c r="H7" i="3"/>
  <c r="G7" i="3"/>
  <c r="F7" i="3"/>
  <c r="E7" i="3"/>
  <c r="D7" i="3"/>
  <c r="C7" i="3"/>
  <c r="B7" i="3"/>
  <c r="L6" i="3"/>
  <c r="K6" i="3"/>
  <c r="J6" i="3"/>
  <c r="I6" i="3"/>
  <c r="H6" i="3"/>
  <c r="G6" i="3"/>
  <c r="F6" i="3"/>
  <c r="E6" i="3"/>
  <c r="D6" i="3"/>
  <c r="C6" i="3"/>
  <c r="B6" i="3"/>
  <c r="L5" i="3"/>
  <c r="K5" i="3"/>
  <c r="J5" i="3"/>
  <c r="I5" i="3"/>
  <c r="H5" i="3"/>
  <c r="G5" i="3"/>
  <c r="F5" i="3"/>
  <c r="E5" i="3"/>
  <c r="D5" i="3"/>
  <c r="C5" i="3"/>
  <c r="B5" i="3"/>
  <c r="L4" i="3"/>
  <c r="K4" i="3"/>
  <c r="J4" i="3"/>
  <c r="I4" i="3"/>
  <c r="H4" i="3"/>
  <c r="G4" i="3"/>
  <c r="F4" i="3"/>
  <c r="E4" i="3"/>
  <c r="D4" i="3"/>
  <c r="C4" i="3"/>
  <c r="B4" i="3"/>
  <c r="L3" i="3"/>
  <c r="K3" i="3"/>
  <c r="J3" i="3"/>
  <c r="I3" i="3"/>
  <c r="H3" i="3"/>
  <c r="G3" i="3"/>
  <c r="F3" i="3"/>
  <c r="E3" i="3"/>
  <c r="D3" i="3"/>
  <c r="C3" i="3"/>
  <c r="B3" i="3"/>
  <c r="L2" i="3"/>
  <c r="K2" i="3"/>
  <c r="J2" i="3"/>
  <c r="I2" i="3"/>
  <c r="H2" i="3"/>
  <c r="G2" i="3"/>
  <c r="F2" i="3"/>
  <c r="E2" i="3"/>
  <c r="D2" i="3"/>
  <c r="C2" i="3"/>
  <c r="B2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U249" i="1" l="1"/>
  <c r="U250" i="1"/>
  <c r="S250" i="1"/>
  <c r="W252" i="1"/>
  <c r="W3" i="1"/>
  <c r="S249" i="1"/>
  <c r="W251" i="1" s="1"/>
  <c r="Q250" i="1"/>
  <c r="Q249" i="1"/>
  <c r="W248" i="1"/>
  <c r="U248" i="1"/>
  <c r="S248" i="1"/>
  <c r="Q248" i="1"/>
  <c r="O248" i="1"/>
  <c r="M248" i="1"/>
  <c r="K248" i="1"/>
  <c r="I248" i="1"/>
  <c r="D5" i="5" a="1"/>
  <c r="E5" i="5" a="1"/>
  <c r="E248" i="1"/>
  <c r="B5" i="5" a="1"/>
  <c r="C5" i="5" a="1"/>
  <c r="D3" i="5" a="1"/>
  <c r="G3" i="5" s="1"/>
  <c r="E3" i="5" a="1"/>
  <c r="C248" i="1"/>
  <c r="C3" i="5" a="1"/>
  <c r="G248" i="1"/>
  <c r="G2" i="5"/>
  <c r="H2" i="5" s="1"/>
  <c r="I2" i="5" s="1"/>
  <c r="G12" i="5"/>
  <c r="H12" i="5" s="1"/>
  <c r="I12" i="5" s="1"/>
  <c r="G6" i="5"/>
  <c r="H6" i="5" s="1"/>
  <c r="I6" i="5" s="1"/>
  <c r="G9" i="5"/>
  <c r="H9" i="5" s="1"/>
  <c r="I9" i="5" s="1"/>
  <c r="G4" i="5"/>
  <c r="H4" i="5" s="1"/>
  <c r="I4" i="5" s="1"/>
  <c r="G11" i="5"/>
  <c r="H11" i="5" s="1"/>
  <c r="I11" i="5" s="1"/>
  <c r="G8" i="5"/>
  <c r="H8" i="5" s="1"/>
  <c r="I8" i="5" s="1"/>
  <c r="G7" i="5"/>
  <c r="H7" i="5" s="1"/>
  <c r="I7" i="5" s="1"/>
  <c r="G10" i="5"/>
  <c r="H10" i="5" s="1"/>
  <c r="I10" i="5" s="1"/>
  <c r="F6" i="5"/>
  <c r="J12" i="5"/>
  <c r="L12" i="5"/>
  <c r="K12" i="5"/>
  <c r="L11" i="5"/>
  <c r="K11" i="5"/>
  <c r="J11" i="5"/>
  <c r="K10" i="5"/>
  <c r="L10" i="5"/>
  <c r="J10" i="5"/>
  <c r="J9" i="5"/>
  <c r="K9" i="5"/>
  <c r="L9" i="5"/>
  <c r="K8" i="5"/>
  <c r="L8" i="5"/>
  <c r="J8" i="5"/>
  <c r="L7" i="5"/>
  <c r="J7" i="5"/>
  <c r="K7" i="5"/>
  <c r="L6" i="5"/>
  <c r="K6" i="5"/>
  <c r="J6" i="5"/>
  <c r="J5" i="5"/>
  <c r="L5" i="5"/>
  <c r="K5" i="5"/>
  <c r="J4" i="5"/>
  <c r="K4" i="5"/>
  <c r="L4" i="5"/>
  <c r="J3" i="5"/>
  <c r="K3" i="5"/>
  <c r="L3" i="5"/>
  <c r="J2" i="5"/>
  <c r="K2" i="5"/>
  <c r="L2" i="5"/>
  <c r="F2" i="5"/>
  <c r="F4" i="5"/>
  <c r="F7" i="5"/>
  <c r="F8" i="5"/>
  <c r="F9" i="5"/>
  <c r="F10" i="5"/>
  <c r="F11" i="5"/>
  <c r="F12" i="5"/>
  <c r="F3" i="5" l="1"/>
  <c r="F5" i="5"/>
  <c r="H3" i="5"/>
  <c r="I3" i="5" s="1"/>
  <c r="G5" i="5"/>
  <c r="H5" i="5" s="1"/>
  <c r="I5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<sst xmlns="http://schemas.openxmlformats.org/spreadsheetml/2006/main" count="48" uniqueCount="34">
  <si>
    <t>Fecha</t>
  </si>
  <si>
    <t>BIMBOA</t>
  </si>
  <si>
    <t>CEMEX</t>
  </si>
  <si>
    <t>FEMSA</t>
  </si>
  <si>
    <t>GRUPO AEROPORTUARIO</t>
  </si>
  <si>
    <t>BANORTE</t>
  </si>
  <si>
    <t>GRUMA</t>
  </si>
  <si>
    <t>HERDEZ</t>
  </si>
  <si>
    <t>KIMBERLY CLARK</t>
  </si>
  <si>
    <t>IPC</t>
  </si>
  <si>
    <t>PEÑOLES</t>
  </si>
  <si>
    <t>WALMART</t>
  </si>
  <si>
    <t>Empresa</t>
  </si>
  <si>
    <t>Fecha inicial</t>
  </si>
  <si>
    <t>Valor inicial</t>
  </si>
  <si>
    <t>Fecha final</t>
  </si>
  <si>
    <t>Valor final</t>
  </si>
  <si>
    <t>Crecimiento total</t>
  </si>
  <si>
    <t>Años</t>
  </si>
  <si>
    <t>Tasa anual (CAGR)</t>
  </si>
  <si>
    <t>Tasa mensual equivalente</t>
  </si>
  <si>
    <t>Crecimiento mensual promedio</t>
  </si>
  <si>
    <t>Desviación estándar (mensual)</t>
  </si>
  <si>
    <t>Varianza (mensual)</t>
  </si>
  <si>
    <t>D.E</t>
  </si>
  <si>
    <t>Varianza</t>
  </si>
  <si>
    <t>Portafolio1</t>
  </si>
  <si>
    <t>Proporción1</t>
  </si>
  <si>
    <t>Proporción2</t>
  </si>
  <si>
    <t>Correlación</t>
  </si>
  <si>
    <t>Promedio</t>
  </si>
  <si>
    <t>CEMEX: 46.09% KIMBERLY CLARK: 23.43% WALMART: 30.47%</t>
  </si>
  <si>
    <t>Portafolio2</t>
  </si>
  <si>
    <t>Proporción3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</si>
</sst>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,##0.00###########"/>
    <numFmt numFmtId="165" formatCode="0.0%"/>
    <numFmt numFmtId="166" formatCode="#,##0.0%"/>
    <numFmt numFmtId="167" formatCode="0.0"/>
    <numFmt numFmtId="168" formatCode="0.000000"/>
  </numFmts>
  <fonts count="8" x14ac:knownFonts="1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  <family val="2"/>
    </font>
    <font>
      <sz val="4"/>
      <color rgb="FF1F1F1F"/>
      <name val="Courier New"/>
      <family val="3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2" borderId="1" xfId="0" applyFont="1" applyFill="1" applyBorder="1"/>
    <xf numFmtId="0" fontId="0" fillId="0" borderId="2" xfId="0" applyBorder="1"/>
    <xf numFmtId="14" fontId="0" fillId="0" borderId="2" xfId="0" applyNumberFormat="1" applyBorder="1"/>
    <xf numFmtId="4" fontId="0" fillId="0" borderId="2" xfId="0" applyNumberFormat="1" applyBorder="1"/>
    <xf numFmtId="166" fontId="0" fillId="0" borderId="2" xfId="0" applyNumberFormat="1" applyBorder="1"/>
    <xf numFmtId="167" fontId="0" fillId="0" borderId="2" xfId="0" applyNumberFormat="1" applyBorder="1"/>
    <xf numFmtId="10" fontId="0" fillId="0" borderId="2" xfId="0" applyNumberFormat="1" applyBorder="1"/>
    <xf numFmtId="0" fontId="2" fillId="2" borderId="1" xfId="0" applyFont="1" applyFill="1" applyBorder="1" applyAlignment="1">
      <alignment horizontal="center" wrapText="1"/>
    </xf>
    <xf numFmtId="168" fontId="0" fillId="0" borderId="2" xfId="0" applyNumberFormat="1" applyBorder="1"/>
    <xf numFmtId="0" fontId="2" fillId="2" borderId="1" xfId="0" applyFont="1" applyFill="1" applyBorder="1" applyAlignment="1">
      <alignment wrapText="1"/>
    </xf>
    <xf numFmtId="164" fontId="0" fillId="0" borderId="0" xfId="0" applyNumberFormat="1"/>
    <xf numFmtId="0" fontId="4" fillId="0" borderId="0" xfId="0" applyFont="1" applyAlignment="1">
      <alignment horizontal="right"/>
    </xf>
    <xf numFmtId="10" fontId="4" fillId="0" borderId="0" xfId="1" applyNumberFormat="1" applyFont="1" applyAlignment="1">
      <alignment horizontal="right"/>
    </xf>
    <xf numFmtId="10" fontId="0" fillId="0" borderId="0" xfId="1" applyNumberFormat="1" applyFont="1" applyAlignment="1"/>
    <xf numFmtId="10" fontId="0" fillId="0" borderId="0" xfId="1" applyNumberFormat="1" applyFont="1"/>
    <xf numFmtId="0" fontId="5" fillId="0" borderId="0" xfId="0" applyFont="1"/>
    <xf numFmtId="0" fontId="6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BIMBOA — Precio de cierre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report!$B$1</c:f>
              <c:strCache>
                <c:ptCount val="1"/>
                <c:pt idx="0">
                  <c:v>BIMBOA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report!$A$2:$A$247</c:f>
              <c:numCache>
                <c:formatCode>m/d/yyyy</c:formatCode>
                <c:ptCount val="246"/>
                <c:pt idx="0">
                  <c:v>38776.041250000002</c:v>
                </c:pt>
                <c:pt idx="1">
                  <c:v>38807.041250000002</c:v>
                </c:pt>
                <c:pt idx="2">
                  <c:v>38835.041250000002</c:v>
                </c:pt>
                <c:pt idx="3">
                  <c:v>38868.041250000002</c:v>
                </c:pt>
                <c:pt idx="4">
                  <c:v>38898.041250000002</c:v>
                </c:pt>
                <c:pt idx="5">
                  <c:v>38929.041250000002</c:v>
                </c:pt>
                <c:pt idx="6">
                  <c:v>38960.041250000002</c:v>
                </c:pt>
                <c:pt idx="7">
                  <c:v>38989.041250000002</c:v>
                </c:pt>
                <c:pt idx="8">
                  <c:v>39021.041250000002</c:v>
                </c:pt>
                <c:pt idx="9">
                  <c:v>39051.041250000002</c:v>
                </c:pt>
                <c:pt idx="10">
                  <c:v>39080.041250000002</c:v>
                </c:pt>
                <c:pt idx="11">
                  <c:v>39113.041250000002</c:v>
                </c:pt>
                <c:pt idx="12">
                  <c:v>39141.041250000002</c:v>
                </c:pt>
                <c:pt idx="13">
                  <c:v>39171.041250000002</c:v>
                </c:pt>
                <c:pt idx="14">
                  <c:v>39202.041250000002</c:v>
                </c:pt>
                <c:pt idx="15">
                  <c:v>39233.041250000002</c:v>
                </c:pt>
                <c:pt idx="16">
                  <c:v>39262.041250000002</c:v>
                </c:pt>
                <c:pt idx="17">
                  <c:v>39294.041250000002</c:v>
                </c:pt>
                <c:pt idx="18">
                  <c:v>39325.041250000002</c:v>
                </c:pt>
                <c:pt idx="19">
                  <c:v>39353.041250000002</c:v>
                </c:pt>
                <c:pt idx="20">
                  <c:v>39386.041250000002</c:v>
                </c:pt>
                <c:pt idx="21">
                  <c:v>39416.041250000002</c:v>
                </c:pt>
                <c:pt idx="22">
                  <c:v>39447.041250000002</c:v>
                </c:pt>
                <c:pt idx="23">
                  <c:v>39478.041250000002</c:v>
                </c:pt>
                <c:pt idx="24">
                  <c:v>39507.041250000002</c:v>
                </c:pt>
                <c:pt idx="25">
                  <c:v>39538.041250000002</c:v>
                </c:pt>
                <c:pt idx="26">
                  <c:v>39568.041250000002</c:v>
                </c:pt>
                <c:pt idx="27">
                  <c:v>39598.041250000002</c:v>
                </c:pt>
                <c:pt idx="28">
                  <c:v>39629.041250000002</c:v>
                </c:pt>
                <c:pt idx="29">
                  <c:v>39660.041250000002</c:v>
                </c:pt>
                <c:pt idx="30">
                  <c:v>39689.041250000002</c:v>
                </c:pt>
                <c:pt idx="31">
                  <c:v>39721.041250000002</c:v>
                </c:pt>
                <c:pt idx="32">
                  <c:v>39752.041250000002</c:v>
                </c:pt>
                <c:pt idx="33">
                  <c:v>39780.041250000002</c:v>
                </c:pt>
                <c:pt idx="34">
                  <c:v>39813.041250000002</c:v>
                </c:pt>
                <c:pt idx="35">
                  <c:v>39843.041250000002</c:v>
                </c:pt>
                <c:pt idx="36">
                  <c:v>39871.041250000002</c:v>
                </c:pt>
                <c:pt idx="37">
                  <c:v>39903.041250000002</c:v>
                </c:pt>
                <c:pt idx="38">
                  <c:v>39933.041250000002</c:v>
                </c:pt>
                <c:pt idx="39">
                  <c:v>39962.041250000002</c:v>
                </c:pt>
                <c:pt idx="40">
                  <c:v>39994.041250000002</c:v>
                </c:pt>
                <c:pt idx="41">
                  <c:v>40025.041250000002</c:v>
                </c:pt>
                <c:pt idx="42">
                  <c:v>40056.041250000002</c:v>
                </c:pt>
                <c:pt idx="43">
                  <c:v>40086.041250000002</c:v>
                </c:pt>
                <c:pt idx="44">
                  <c:v>40116.041250000002</c:v>
                </c:pt>
                <c:pt idx="45">
                  <c:v>40147.041250000002</c:v>
                </c:pt>
                <c:pt idx="46">
                  <c:v>40178.041250000002</c:v>
                </c:pt>
                <c:pt idx="47">
                  <c:v>40207.041250000002</c:v>
                </c:pt>
                <c:pt idx="48">
                  <c:v>40235.041250000002</c:v>
                </c:pt>
                <c:pt idx="49">
                  <c:v>40268.041250000002</c:v>
                </c:pt>
                <c:pt idx="50">
                  <c:v>40298.041250000002</c:v>
                </c:pt>
                <c:pt idx="51">
                  <c:v>40329.041250000002</c:v>
                </c:pt>
                <c:pt idx="52">
                  <c:v>40359.041250000002</c:v>
                </c:pt>
                <c:pt idx="53">
                  <c:v>40389.041250000002</c:v>
                </c:pt>
                <c:pt idx="54">
                  <c:v>40421.041250000002</c:v>
                </c:pt>
                <c:pt idx="55">
                  <c:v>40451.041250000002</c:v>
                </c:pt>
                <c:pt idx="56">
                  <c:v>40480.041250000002</c:v>
                </c:pt>
                <c:pt idx="57">
                  <c:v>40512.041250000002</c:v>
                </c:pt>
                <c:pt idx="58">
                  <c:v>40543.041250000002</c:v>
                </c:pt>
                <c:pt idx="59">
                  <c:v>40574.041250000002</c:v>
                </c:pt>
                <c:pt idx="60">
                  <c:v>40602.041250000002</c:v>
                </c:pt>
                <c:pt idx="61">
                  <c:v>40633.041250000002</c:v>
                </c:pt>
                <c:pt idx="62">
                  <c:v>40662.041250000002</c:v>
                </c:pt>
                <c:pt idx="63">
                  <c:v>40694.041250000002</c:v>
                </c:pt>
                <c:pt idx="64">
                  <c:v>40724.041250000002</c:v>
                </c:pt>
                <c:pt idx="65">
                  <c:v>40753.041250000002</c:v>
                </c:pt>
                <c:pt idx="66">
                  <c:v>40786.041250000002</c:v>
                </c:pt>
                <c:pt idx="67">
                  <c:v>40816.041250000002</c:v>
                </c:pt>
                <c:pt idx="68">
                  <c:v>40847.041250000002</c:v>
                </c:pt>
                <c:pt idx="69">
                  <c:v>40877.041250000002</c:v>
                </c:pt>
                <c:pt idx="70">
                  <c:v>40907.041250000002</c:v>
                </c:pt>
                <c:pt idx="71">
                  <c:v>40939.041250000002</c:v>
                </c:pt>
                <c:pt idx="72">
                  <c:v>40968.041250000002</c:v>
                </c:pt>
                <c:pt idx="73">
                  <c:v>40998.041250000002</c:v>
                </c:pt>
                <c:pt idx="74">
                  <c:v>41029.041250000002</c:v>
                </c:pt>
                <c:pt idx="75">
                  <c:v>41060.041250000002</c:v>
                </c:pt>
                <c:pt idx="76">
                  <c:v>41089.041250000002</c:v>
                </c:pt>
                <c:pt idx="77">
                  <c:v>41121.041250000002</c:v>
                </c:pt>
                <c:pt idx="78">
                  <c:v>41152.041250000002</c:v>
                </c:pt>
                <c:pt idx="79">
                  <c:v>41180.041250000002</c:v>
                </c:pt>
                <c:pt idx="80">
                  <c:v>41213.041250000002</c:v>
                </c:pt>
                <c:pt idx="81">
                  <c:v>41243.041250000002</c:v>
                </c:pt>
                <c:pt idx="82">
                  <c:v>41274.041250000002</c:v>
                </c:pt>
                <c:pt idx="83">
                  <c:v>41305.041250000002</c:v>
                </c:pt>
                <c:pt idx="84">
                  <c:v>41333.041250000002</c:v>
                </c:pt>
                <c:pt idx="85">
                  <c:v>41360.041250000002</c:v>
                </c:pt>
                <c:pt idx="86">
                  <c:v>41394.041250000002</c:v>
                </c:pt>
                <c:pt idx="87">
                  <c:v>41425.041250000002</c:v>
                </c:pt>
                <c:pt idx="88">
                  <c:v>41453.041250000002</c:v>
                </c:pt>
                <c:pt idx="89">
                  <c:v>41486.041250000002</c:v>
                </c:pt>
                <c:pt idx="90">
                  <c:v>41516.041250000002</c:v>
                </c:pt>
                <c:pt idx="91">
                  <c:v>41547.041250000002</c:v>
                </c:pt>
                <c:pt idx="92">
                  <c:v>41578.041250000002</c:v>
                </c:pt>
                <c:pt idx="93">
                  <c:v>41607.041250000002</c:v>
                </c:pt>
                <c:pt idx="94">
                  <c:v>41639.041250000002</c:v>
                </c:pt>
                <c:pt idx="95">
                  <c:v>41670.041250000002</c:v>
                </c:pt>
                <c:pt idx="96">
                  <c:v>41698.041250000002</c:v>
                </c:pt>
                <c:pt idx="97">
                  <c:v>41729.041250000002</c:v>
                </c:pt>
                <c:pt idx="98">
                  <c:v>41759.041250000002</c:v>
                </c:pt>
                <c:pt idx="99">
                  <c:v>41789.041250000002</c:v>
                </c:pt>
                <c:pt idx="100">
                  <c:v>41820.041250000002</c:v>
                </c:pt>
                <c:pt idx="101">
                  <c:v>41851.041250000002</c:v>
                </c:pt>
                <c:pt idx="102">
                  <c:v>41880.041250000002</c:v>
                </c:pt>
                <c:pt idx="103">
                  <c:v>41912.041250000002</c:v>
                </c:pt>
                <c:pt idx="104">
                  <c:v>41943.041250000002</c:v>
                </c:pt>
                <c:pt idx="105">
                  <c:v>41971.041250000002</c:v>
                </c:pt>
                <c:pt idx="106">
                  <c:v>42004.041250000002</c:v>
                </c:pt>
                <c:pt idx="107">
                  <c:v>42034.041250000002</c:v>
                </c:pt>
                <c:pt idx="108">
                  <c:v>42062.041250000002</c:v>
                </c:pt>
                <c:pt idx="109">
                  <c:v>42094.041250000002</c:v>
                </c:pt>
                <c:pt idx="110">
                  <c:v>42124.041250000002</c:v>
                </c:pt>
                <c:pt idx="111">
                  <c:v>42153.041250000002</c:v>
                </c:pt>
                <c:pt idx="112">
                  <c:v>42185.041250000002</c:v>
                </c:pt>
                <c:pt idx="113">
                  <c:v>42216.041250000002</c:v>
                </c:pt>
                <c:pt idx="114">
                  <c:v>42247.041250000002</c:v>
                </c:pt>
                <c:pt idx="115">
                  <c:v>42277.041250000002</c:v>
                </c:pt>
                <c:pt idx="116">
                  <c:v>42307.041250000002</c:v>
                </c:pt>
                <c:pt idx="117">
                  <c:v>42338.041250000002</c:v>
                </c:pt>
                <c:pt idx="118">
                  <c:v>42369.041250000002</c:v>
                </c:pt>
                <c:pt idx="119">
                  <c:v>42398.041250000002</c:v>
                </c:pt>
                <c:pt idx="120">
                  <c:v>42429.041250000002</c:v>
                </c:pt>
                <c:pt idx="121">
                  <c:v>42460.041250000002</c:v>
                </c:pt>
                <c:pt idx="122">
                  <c:v>42489.041250000002</c:v>
                </c:pt>
                <c:pt idx="123">
                  <c:v>42521.041250000002</c:v>
                </c:pt>
                <c:pt idx="124">
                  <c:v>42551.041250000002</c:v>
                </c:pt>
                <c:pt idx="125">
                  <c:v>42580.041250000002</c:v>
                </c:pt>
                <c:pt idx="126">
                  <c:v>42613.041250000002</c:v>
                </c:pt>
                <c:pt idx="127">
                  <c:v>42643.041250000002</c:v>
                </c:pt>
                <c:pt idx="128">
                  <c:v>42674.041250000002</c:v>
                </c:pt>
                <c:pt idx="129">
                  <c:v>42704.041250000002</c:v>
                </c:pt>
                <c:pt idx="130">
                  <c:v>42734.041250000002</c:v>
                </c:pt>
                <c:pt idx="131">
                  <c:v>42766.041250000002</c:v>
                </c:pt>
                <c:pt idx="132">
                  <c:v>42794.041250000002</c:v>
                </c:pt>
                <c:pt idx="133">
                  <c:v>42825.041250000002</c:v>
                </c:pt>
                <c:pt idx="134">
                  <c:v>42853.041250000002</c:v>
                </c:pt>
                <c:pt idx="135">
                  <c:v>42886.041250000002</c:v>
                </c:pt>
                <c:pt idx="136">
                  <c:v>42916.041250000002</c:v>
                </c:pt>
                <c:pt idx="137">
                  <c:v>42947.041250000002</c:v>
                </c:pt>
                <c:pt idx="138">
                  <c:v>42978.041250000002</c:v>
                </c:pt>
                <c:pt idx="139">
                  <c:v>43007.041250000002</c:v>
                </c:pt>
                <c:pt idx="140">
                  <c:v>43039.041250000002</c:v>
                </c:pt>
                <c:pt idx="141">
                  <c:v>43069.041250000002</c:v>
                </c:pt>
                <c:pt idx="142">
                  <c:v>43098.041250000002</c:v>
                </c:pt>
                <c:pt idx="143">
                  <c:v>43131.041250000002</c:v>
                </c:pt>
                <c:pt idx="144">
                  <c:v>43159.041250000002</c:v>
                </c:pt>
                <c:pt idx="145">
                  <c:v>43187.041250000002</c:v>
                </c:pt>
                <c:pt idx="146">
                  <c:v>43220.041250000002</c:v>
                </c:pt>
                <c:pt idx="147">
                  <c:v>43251.041250000002</c:v>
                </c:pt>
                <c:pt idx="148">
                  <c:v>43280.041250000002</c:v>
                </c:pt>
                <c:pt idx="149">
                  <c:v>43312.041250000002</c:v>
                </c:pt>
                <c:pt idx="150">
                  <c:v>43343.041250000002</c:v>
                </c:pt>
                <c:pt idx="151">
                  <c:v>43371.041250000002</c:v>
                </c:pt>
                <c:pt idx="152">
                  <c:v>43404.041250000002</c:v>
                </c:pt>
                <c:pt idx="153">
                  <c:v>43434.041250000002</c:v>
                </c:pt>
                <c:pt idx="154">
                  <c:v>43465.041250000002</c:v>
                </c:pt>
                <c:pt idx="155">
                  <c:v>43496.041250000002</c:v>
                </c:pt>
                <c:pt idx="156">
                  <c:v>43524.041250000002</c:v>
                </c:pt>
                <c:pt idx="157">
                  <c:v>43553.041250000002</c:v>
                </c:pt>
                <c:pt idx="158">
                  <c:v>43585.041250000002</c:v>
                </c:pt>
                <c:pt idx="159">
                  <c:v>43616.041250000002</c:v>
                </c:pt>
                <c:pt idx="160">
                  <c:v>43644.041250000002</c:v>
                </c:pt>
                <c:pt idx="161">
                  <c:v>43677.041250000002</c:v>
                </c:pt>
                <c:pt idx="162">
                  <c:v>43707.041250000002</c:v>
                </c:pt>
                <c:pt idx="163">
                  <c:v>43738.041250000002</c:v>
                </c:pt>
                <c:pt idx="164">
                  <c:v>43769.041250000002</c:v>
                </c:pt>
                <c:pt idx="165">
                  <c:v>43798.041250000002</c:v>
                </c:pt>
                <c:pt idx="166">
                  <c:v>43830.041250000002</c:v>
                </c:pt>
                <c:pt idx="167">
                  <c:v>43861.041250000002</c:v>
                </c:pt>
                <c:pt idx="168">
                  <c:v>43889.041250000002</c:v>
                </c:pt>
                <c:pt idx="169">
                  <c:v>43921.041250000002</c:v>
                </c:pt>
                <c:pt idx="170">
                  <c:v>43951.041250000002</c:v>
                </c:pt>
                <c:pt idx="171">
                  <c:v>43980.041250000002</c:v>
                </c:pt>
                <c:pt idx="172">
                  <c:v>44012.041250000002</c:v>
                </c:pt>
                <c:pt idx="173">
                  <c:v>44043.041250000002</c:v>
                </c:pt>
                <c:pt idx="174">
                  <c:v>44074.041250000002</c:v>
                </c:pt>
                <c:pt idx="175">
                  <c:v>44104.041250000002</c:v>
                </c:pt>
                <c:pt idx="176">
                  <c:v>44134.041250000002</c:v>
                </c:pt>
                <c:pt idx="177">
                  <c:v>44165.041250000002</c:v>
                </c:pt>
                <c:pt idx="178">
                  <c:v>44196.041250000002</c:v>
                </c:pt>
                <c:pt idx="179">
                  <c:v>44225.041250000002</c:v>
                </c:pt>
                <c:pt idx="180">
                  <c:v>44253.041250000002</c:v>
                </c:pt>
                <c:pt idx="181">
                  <c:v>44286.041250000002</c:v>
                </c:pt>
                <c:pt idx="182">
                  <c:v>44316.041250000002</c:v>
                </c:pt>
                <c:pt idx="183">
                  <c:v>44347.041250000002</c:v>
                </c:pt>
                <c:pt idx="184">
                  <c:v>44377.041250000002</c:v>
                </c:pt>
                <c:pt idx="185">
                  <c:v>44407.041250000002</c:v>
                </c:pt>
                <c:pt idx="186">
                  <c:v>44439.041250000002</c:v>
                </c:pt>
                <c:pt idx="187">
                  <c:v>44469.041250000002</c:v>
                </c:pt>
                <c:pt idx="188">
                  <c:v>44498.041250000002</c:v>
                </c:pt>
                <c:pt idx="189">
                  <c:v>44530.041250000002</c:v>
                </c:pt>
                <c:pt idx="190">
                  <c:v>44561.041250000002</c:v>
                </c:pt>
                <c:pt idx="191">
                  <c:v>44592.041250000002</c:v>
                </c:pt>
                <c:pt idx="192">
                  <c:v>44620.041250000002</c:v>
                </c:pt>
                <c:pt idx="193">
                  <c:v>44651.041250000002</c:v>
                </c:pt>
                <c:pt idx="194">
                  <c:v>44680.041250000002</c:v>
                </c:pt>
                <c:pt idx="195">
                  <c:v>44712.041250000002</c:v>
                </c:pt>
                <c:pt idx="196">
                  <c:v>44742.041250000002</c:v>
                </c:pt>
                <c:pt idx="197">
                  <c:v>44771.041250000002</c:v>
                </c:pt>
                <c:pt idx="198">
                  <c:v>44804.041250000002</c:v>
                </c:pt>
                <c:pt idx="199">
                  <c:v>44834.041250000002</c:v>
                </c:pt>
                <c:pt idx="200">
                  <c:v>44865.041250000002</c:v>
                </c:pt>
                <c:pt idx="201">
                  <c:v>44895.041250000002</c:v>
                </c:pt>
                <c:pt idx="202">
                  <c:v>44925.041250000002</c:v>
                </c:pt>
                <c:pt idx="203">
                  <c:v>44957.041250000002</c:v>
                </c:pt>
                <c:pt idx="204">
                  <c:v>44985.041250000002</c:v>
                </c:pt>
                <c:pt idx="205">
                  <c:v>45016.041250000002</c:v>
                </c:pt>
                <c:pt idx="206">
                  <c:v>45044.041250000002</c:v>
                </c:pt>
                <c:pt idx="207">
                  <c:v>45077.041250000002</c:v>
                </c:pt>
                <c:pt idx="208">
                  <c:v>45107.041250000002</c:v>
                </c:pt>
                <c:pt idx="209">
                  <c:v>45138.041250000002</c:v>
                </c:pt>
                <c:pt idx="210">
                  <c:v>45169.041250000002</c:v>
                </c:pt>
                <c:pt idx="211">
                  <c:v>45198.041250000002</c:v>
                </c:pt>
                <c:pt idx="212">
                  <c:v>45230.041250000002</c:v>
                </c:pt>
                <c:pt idx="213">
                  <c:v>45260.041250000002</c:v>
                </c:pt>
                <c:pt idx="214">
                  <c:v>45289.041250000002</c:v>
                </c:pt>
                <c:pt idx="215">
                  <c:v>45322.041250000002</c:v>
                </c:pt>
                <c:pt idx="216">
                  <c:v>45351.041250000002</c:v>
                </c:pt>
                <c:pt idx="217">
                  <c:v>45378.041250000002</c:v>
                </c:pt>
                <c:pt idx="218">
                  <c:v>45412.041250000002</c:v>
                </c:pt>
                <c:pt idx="219">
                  <c:v>45443.041250000002</c:v>
                </c:pt>
                <c:pt idx="220">
                  <c:v>45471.041250000002</c:v>
                </c:pt>
                <c:pt idx="221">
                  <c:v>45504.041250000002</c:v>
                </c:pt>
                <c:pt idx="222">
                  <c:v>45534.041250000002</c:v>
                </c:pt>
                <c:pt idx="223">
                  <c:v>45565.041250000002</c:v>
                </c:pt>
                <c:pt idx="224">
                  <c:v>45596.041250000002</c:v>
                </c:pt>
                <c:pt idx="225">
                  <c:v>45625.041250000002</c:v>
                </c:pt>
                <c:pt idx="226">
                  <c:v>45657.041250000002</c:v>
                </c:pt>
                <c:pt idx="227">
                  <c:v>45688.041250000002</c:v>
                </c:pt>
                <c:pt idx="228">
                  <c:v>45716.041250000002</c:v>
                </c:pt>
                <c:pt idx="229">
                  <c:v>45747.041250000002</c:v>
                </c:pt>
                <c:pt idx="230">
                  <c:v>45777.041250000002</c:v>
                </c:pt>
                <c:pt idx="231">
                  <c:v>45807.041250000002</c:v>
                </c:pt>
                <c:pt idx="232">
                  <c:v>45838.041250000002</c:v>
                </c:pt>
                <c:pt idx="233">
                  <c:v>45869.041250000002</c:v>
                </c:pt>
                <c:pt idx="234">
                  <c:v>45898.041250000002</c:v>
                </c:pt>
                <c:pt idx="235">
                  <c:v>45930.041250000002</c:v>
                </c:pt>
                <c:pt idx="236">
                  <c:v>45961.041250000002</c:v>
                </c:pt>
                <c:pt idx="237">
                  <c:v>45989.041250000002</c:v>
                </c:pt>
                <c:pt idx="238">
                  <c:v>46022.041250000002</c:v>
                </c:pt>
                <c:pt idx="239">
                  <c:v>46052.041250000002</c:v>
                </c:pt>
                <c:pt idx="240">
                  <c:v>46080.041250000002</c:v>
                </c:pt>
                <c:pt idx="241">
                  <c:v>46112.041250000002</c:v>
                </c:pt>
                <c:pt idx="242">
                  <c:v>46142.041250000002</c:v>
                </c:pt>
                <c:pt idx="243">
                  <c:v>46171.041250000002</c:v>
                </c:pt>
                <c:pt idx="244">
                  <c:v>46203.041250000002</c:v>
                </c:pt>
                <c:pt idx="245">
                  <c:v>46209.041250000002</c:v>
                </c:pt>
              </c:numCache>
            </c:numRef>
          </c:cat>
          <c:val>
            <c:numRef>
              <c:f>report!$B$2:$B$247</c:f>
              <c:numCache>
                <c:formatCode>##,##0.00###########</c:formatCode>
                <c:ptCount val="246"/>
                <c:pt idx="0">
                  <c:v>9.2799999999999994</c:v>
                </c:pt>
                <c:pt idx="1">
                  <c:v>8.93</c:v>
                </c:pt>
                <c:pt idx="2">
                  <c:v>8.65</c:v>
                </c:pt>
                <c:pt idx="3">
                  <c:v>8.25</c:v>
                </c:pt>
                <c:pt idx="4">
                  <c:v>8.43</c:v>
                </c:pt>
                <c:pt idx="5">
                  <c:v>8.76</c:v>
                </c:pt>
                <c:pt idx="6">
                  <c:v>8.9774999999999991</c:v>
                </c:pt>
                <c:pt idx="7">
                  <c:v>9.6274999999999995</c:v>
                </c:pt>
                <c:pt idx="8">
                  <c:v>10.7675</c:v>
                </c:pt>
                <c:pt idx="9">
                  <c:v>11.26</c:v>
                </c:pt>
                <c:pt idx="10">
                  <c:v>13.5</c:v>
                </c:pt>
                <c:pt idx="11">
                  <c:v>13.775</c:v>
                </c:pt>
                <c:pt idx="12">
                  <c:v>12.967499999999999</c:v>
                </c:pt>
                <c:pt idx="13">
                  <c:v>13.88</c:v>
                </c:pt>
                <c:pt idx="14">
                  <c:v>14.8</c:v>
                </c:pt>
                <c:pt idx="15">
                  <c:v>17.2425</c:v>
                </c:pt>
                <c:pt idx="16">
                  <c:v>16.670000000000002</c:v>
                </c:pt>
                <c:pt idx="17">
                  <c:v>15.345000000000001</c:v>
                </c:pt>
                <c:pt idx="18">
                  <c:v>16.239999999999998</c:v>
                </c:pt>
                <c:pt idx="19">
                  <c:v>15.2675</c:v>
                </c:pt>
                <c:pt idx="20">
                  <c:v>15.16</c:v>
                </c:pt>
                <c:pt idx="21">
                  <c:v>15.06</c:v>
                </c:pt>
                <c:pt idx="22">
                  <c:v>16.260000000000002</c:v>
                </c:pt>
                <c:pt idx="23">
                  <c:v>16.175000000000001</c:v>
                </c:pt>
                <c:pt idx="24">
                  <c:v>14.54</c:v>
                </c:pt>
                <c:pt idx="25">
                  <c:v>16</c:v>
                </c:pt>
                <c:pt idx="26">
                  <c:v>16.79</c:v>
                </c:pt>
                <c:pt idx="27">
                  <c:v>16.772500000000001</c:v>
                </c:pt>
                <c:pt idx="28">
                  <c:v>16.795000000000002</c:v>
                </c:pt>
                <c:pt idx="29">
                  <c:v>16.239999999999998</c:v>
                </c:pt>
                <c:pt idx="30">
                  <c:v>17.137499999999999</c:v>
                </c:pt>
                <c:pt idx="31">
                  <c:v>17.182500000000001</c:v>
                </c:pt>
                <c:pt idx="32">
                  <c:v>15.32</c:v>
                </c:pt>
                <c:pt idx="33">
                  <c:v>15.73</c:v>
                </c:pt>
                <c:pt idx="34">
                  <c:v>14.58</c:v>
                </c:pt>
                <c:pt idx="35">
                  <c:v>12.852499999999999</c:v>
                </c:pt>
                <c:pt idx="36">
                  <c:v>10.7575</c:v>
                </c:pt>
                <c:pt idx="37">
                  <c:v>13.15</c:v>
                </c:pt>
                <c:pt idx="38">
                  <c:v>15.6075</c:v>
                </c:pt>
                <c:pt idx="39">
                  <c:v>17.4725</c:v>
                </c:pt>
                <c:pt idx="40">
                  <c:v>17.4925</c:v>
                </c:pt>
                <c:pt idx="41">
                  <c:v>18.47</c:v>
                </c:pt>
                <c:pt idx="42">
                  <c:v>19.41</c:v>
                </c:pt>
                <c:pt idx="43">
                  <c:v>18.7575</c:v>
                </c:pt>
                <c:pt idx="44">
                  <c:v>19.202500000000001</c:v>
                </c:pt>
                <c:pt idx="45">
                  <c:v>20.605</c:v>
                </c:pt>
                <c:pt idx="46">
                  <c:v>21.637499999999999</c:v>
                </c:pt>
                <c:pt idx="47">
                  <c:v>20.56</c:v>
                </c:pt>
                <c:pt idx="48">
                  <c:v>23.31</c:v>
                </c:pt>
                <c:pt idx="49">
                  <c:v>27.195</c:v>
                </c:pt>
                <c:pt idx="50">
                  <c:v>24.6</c:v>
                </c:pt>
                <c:pt idx="51">
                  <c:v>22.9725</c:v>
                </c:pt>
                <c:pt idx="52">
                  <c:v>22.98</c:v>
                </c:pt>
                <c:pt idx="53">
                  <c:v>23.84</c:v>
                </c:pt>
                <c:pt idx="54">
                  <c:v>22.64</c:v>
                </c:pt>
                <c:pt idx="55">
                  <c:v>23.07</c:v>
                </c:pt>
                <c:pt idx="56">
                  <c:v>23.8</c:v>
                </c:pt>
                <c:pt idx="57">
                  <c:v>25.41</c:v>
                </c:pt>
                <c:pt idx="58">
                  <c:v>26.357500000000002</c:v>
                </c:pt>
                <c:pt idx="59">
                  <c:v>25.607500000000002</c:v>
                </c:pt>
                <c:pt idx="60">
                  <c:v>23.552499999999998</c:v>
                </c:pt>
                <c:pt idx="61">
                  <c:v>25.05</c:v>
                </c:pt>
                <c:pt idx="62">
                  <c:v>25.4</c:v>
                </c:pt>
                <c:pt idx="63">
                  <c:v>26.92</c:v>
                </c:pt>
                <c:pt idx="64">
                  <c:v>27.13</c:v>
                </c:pt>
                <c:pt idx="65">
                  <c:v>28.24</c:v>
                </c:pt>
                <c:pt idx="66">
                  <c:v>24.17</c:v>
                </c:pt>
                <c:pt idx="67">
                  <c:v>26.39</c:v>
                </c:pt>
                <c:pt idx="68">
                  <c:v>27.41</c:v>
                </c:pt>
                <c:pt idx="69">
                  <c:v>28.11</c:v>
                </c:pt>
                <c:pt idx="70">
                  <c:v>28.47</c:v>
                </c:pt>
                <c:pt idx="71">
                  <c:v>29</c:v>
                </c:pt>
                <c:pt idx="72">
                  <c:v>28.96</c:v>
                </c:pt>
                <c:pt idx="73">
                  <c:v>29.84</c:v>
                </c:pt>
                <c:pt idx="74">
                  <c:v>31.04</c:v>
                </c:pt>
                <c:pt idx="75">
                  <c:v>31.14</c:v>
                </c:pt>
                <c:pt idx="76">
                  <c:v>32.75</c:v>
                </c:pt>
                <c:pt idx="77">
                  <c:v>33.119999999999997</c:v>
                </c:pt>
                <c:pt idx="78">
                  <c:v>28.7</c:v>
                </c:pt>
                <c:pt idx="79">
                  <c:v>32.04</c:v>
                </c:pt>
                <c:pt idx="80">
                  <c:v>30.5</c:v>
                </c:pt>
                <c:pt idx="81">
                  <c:v>30.5</c:v>
                </c:pt>
                <c:pt idx="82">
                  <c:v>33.47</c:v>
                </c:pt>
                <c:pt idx="83">
                  <c:v>32.880000000000003</c:v>
                </c:pt>
                <c:pt idx="84">
                  <c:v>34.67</c:v>
                </c:pt>
                <c:pt idx="85">
                  <c:v>39.49</c:v>
                </c:pt>
                <c:pt idx="86">
                  <c:v>39.51</c:v>
                </c:pt>
                <c:pt idx="87">
                  <c:v>37.83</c:v>
                </c:pt>
                <c:pt idx="88">
                  <c:v>39.25</c:v>
                </c:pt>
                <c:pt idx="89">
                  <c:v>43.2</c:v>
                </c:pt>
                <c:pt idx="90">
                  <c:v>38.85</c:v>
                </c:pt>
                <c:pt idx="91">
                  <c:v>40.69</c:v>
                </c:pt>
                <c:pt idx="92">
                  <c:v>43.83</c:v>
                </c:pt>
                <c:pt idx="93">
                  <c:v>40.799999999999997</c:v>
                </c:pt>
                <c:pt idx="94">
                  <c:v>40.200000000000003</c:v>
                </c:pt>
                <c:pt idx="95">
                  <c:v>35.53</c:v>
                </c:pt>
                <c:pt idx="96">
                  <c:v>34.75</c:v>
                </c:pt>
                <c:pt idx="97">
                  <c:v>35.24</c:v>
                </c:pt>
                <c:pt idx="98">
                  <c:v>36.14</c:v>
                </c:pt>
                <c:pt idx="99">
                  <c:v>37.200000000000003</c:v>
                </c:pt>
                <c:pt idx="100">
                  <c:v>38.07</c:v>
                </c:pt>
                <c:pt idx="101">
                  <c:v>40.61</c:v>
                </c:pt>
                <c:pt idx="102">
                  <c:v>41.16</c:v>
                </c:pt>
                <c:pt idx="103">
                  <c:v>38.94</c:v>
                </c:pt>
                <c:pt idx="104">
                  <c:v>39.39</c:v>
                </c:pt>
                <c:pt idx="105">
                  <c:v>39.11</c:v>
                </c:pt>
                <c:pt idx="106">
                  <c:v>40.700000000000003</c:v>
                </c:pt>
                <c:pt idx="107">
                  <c:v>38.14</c:v>
                </c:pt>
                <c:pt idx="108">
                  <c:v>42.22</c:v>
                </c:pt>
                <c:pt idx="109">
                  <c:v>43.26</c:v>
                </c:pt>
                <c:pt idx="110">
                  <c:v>41.2</c:v>
                </c:pt>
                <c:pt idx="111">
                  <c:v>41.68</c:v>
                </c:pt>
                <c:pt idx="112">
                  <c:v>40.659999999999997</c:v>
                </c:pt>
                <c:pt idx="113">
                  <c:v>43.23</c:v>
                </c:pt>
                <c:pt idx="114">
                  <c:v>43.08</c:v>
                </c:pt>
                <c:pt idx="115">
                  <c:v>42.81</c:v>
                </c:pt>
                <c:pt idx="116">
                  <c:v>46.87</c:v>
                </c:pt>
                <c:pt idx="117">
                  <c:v>45.88</c:v>
                </c:pt>
                <c:pt idx="118">
                  <c:v>45.95</c:v>
                </c:pt>
                <c:pt idx="119">
                  <c:v>50.66</c:v>
                </c:pt>
                <c:pt idx="120">
                  <c:v>51.5</c:v>
                </c:pt>
                <c:pt idx="121">
                  <c:v>51.07</c:v>
                </c:pt>
                <c:pt idx="122">
                  <c:v>52.45</c:v>
                </c:pt>
                <c:pt idx="123">
                  <c:v>54.41</c:v>
                </c:pt>
                <c:pt idx="124">
                  <c:v>57.22</c:v>
                </c:pt>
                <c:pt idx="125">
                  <c:v>55.89</c:v>
                </c:pt>
                <c:pt idx="126">
                  <c:v>53.49</c:v>
                </c:pt>
                <c:pt idx="127">
                  <c:v>51.11</c:v>
                </c:pt>
                <c:pt idx="128">
                  <c:v>50.91</c:v>
                </c:pt>
                <c:pt idx="129">
                  <c:v>47.35</c:v>
                </c:pt>
                <c:pt idx="130">
                  <c:v>47.01</c:v>
                </c:pt>
                <c:pt idx="131">
                  <c:v>46.23</c:v>
                </c:pt>
                <c:pt idx="132">
                  <c:v>47.42</c:v>
                </c:pt>
                <c:pt idx="133">
                  <c:v>46.59</c:v>
                </c:pt>
                <c:pt idx="134">
                  <c:v>46.08</c:v>
                </c:pt>
                <c:pt idx="135">
                  <c:v>43.03</c:v>
                </c:pt>
                <c:pt idx="136">
                  <c:v>45.6</c:v>
                </c:pt>
                <c:pt idx="137">
                  <c:v>45.01</c:v>
                </c:pt>
                <c:pt idx="138">
                  <c:v>43.34</c:v>
                </c:pt>
                <c:pt idx="139">
                  <c:v>43.97</c:v>
                </c:pt>
                <c:pt idx="140">
                  <c:v>44.32</c:v>
                </c:pt>
                <c:pt idx="141">
                  <c:v>43.45</c:v>
                </c:pt>
                <c:pt idx="142">
                  <c:v>43.51</c:v>
                </c:pt>
                <c:pt idx="143">
                  <c:v>45.4</c:v>
                </c:pt>
                <c:pt idx="144">
                  <c:v>44.11</c:v>
                </c:pt>
                <c:pt idx="145">
                  <c:v>39.78</c:v>
                </c:pt>
                <c:pt idx="146">
                  <c:v>43.53</c:v>
                </c:pt>
                <c:pt idx="147">
                  <c:v>38.06</c:v>
                </c:pt>
                <c:pt idx="148">
                  <c:v>38.69</c:v>
                </c:pt>
                <c:pt idx="149">
                  <c:v>39.659999999999997</c:v>
                </c:pt>
                <c:pt idx="150">
                  <c:v>39.89</c:v>
                </c:pt>
                <c:pt idx="151">
                  <c:v>39.909999999999997</c:v>
                </c:pt>
                <c:pt idx="152">
                  <c:v>38.049999999999997</c:v>
                </c:pt>
                <c:pt idx="153">
                  <c:v>39</c:v>
                </c:pt>
                <c:pt idx="154">
                  <c:v>39.15</c:v>
                </c:pt>
                <c:pt idx="155">
                  <c:v>37.81</c:v>
                </c:pt>
                <c:pt idx="156">
                  <c:v>38.229999999999997</c:v>
                </c:pt>
                <c:pt idx="157">
                  <c:v>40.58</c:v>
                </c:pt>
                <c:pt idx="158">
                  <c:v>42.22</c:v>
                </c:pt>
                <c:pt idx="159">
                  <c:v>39.549999999999997</c:v>
                </c:pt>
                <c:pt idx="160">
                  <c:v>40.03</c:v>
                </c:pt>
                <c:pt idx="161">
                  <c:v>36.5</c:v>
                </c:pt>
                <c:pt idx="162">
                  <c:v>35.07</c:v>
                </c:pt>
                <c:pt idx="163">
                  <c:v>35.99</c:v>
                </c:pt>
                <c:pt idx="164">
                  <c:v>35.74</c:v>
                </c:pt>
                <c:pt idx="165">
                  <c:v>33.799999999999997</c:v>
                </c:pt>
                <c:pt idx="166">
                  <c:v>34.43</c:v>
                </c:pt>
                <c:pt idx="167">
                  <c:v>33.81</c:v>
                </c:pt>
                <c:pt idx="168">
                  <c:v>29.69</c:v>
                </c:pt>
                <c:pt idx="169">
                  <c:v>34.479999999999997</c:v>
                </c:pt>
                <c:pt idx="170">
                  <c:v>35.590000000000003</c:v>
                </c:pt>
                <c:pt idx="171">
                  <c:v>34.67</c:v>
                </c:pt>
                <c:pt idx="172">
                  <c:v>38.47</c:v>
                </c:pt>
                <c:pt idx="173">
                  <c:v>40.090000000000003</c:v>
                </c:pt>
                <c:pt idx="174">
                  <c:v>40.42</c:v>
                </c:pt>
                <c:pt idx="175">
                  <c:v>41.37</c:v>
                </c:pt>
                <c:pt idx="176">
                  <c:v>40.99</c:v>
                </c:pt>
                <c:pt idx="177">
                  <c:v>42.76</c:v>
                </c:pt>
                <c:pt idx="178">
                  <c:v>43.24</c:v>
                </c:pt>
                <c:pt idx="179">
                  <c:v>38.520000000000003</c:v>
                </c:pt>
                <c:pt idx="180">
                  <c:v>39.299999999999997</c:v>
                </c:pt>
                <c:pt idx="181">
                  <c:v>42.9</c:v>
                </c:pt>
                <c:pt idx="182">
                  <c:v>40.54</c:v>
                </c:pt>
                <c:pt idx="183">
                  <c:v>43.85</c:v>
                </c:pt>
                <c:pt idx="184">
                  <c:v>43.89</c:v>
                </c:pt>
                <c:pt idx="185">
                  <c:v>45.88</c:v>
                </c:pt>
                <c:pt idx="186">
                  <c:v>50.82</c:v>
                </c:pt>
                <c:pt idx="187">
                  <c:v>58.04</c:v>
                </c:pt>
                <c:pt idx="188">
                  <c:v>60.94</c:v>
                </c:pt>
                <c:pt idx="189">
                  <c:v>56.22</c:v>
                </c:pt>
                <c:pt idx="190">
                  <c:v>62.97</c:v>
                </c:pt>
                <c:pt idx="191">
                  <c:v>64.59</c:v>
                </c:pt>
                <c:pt idx="192">
                  <c:v>63.07</c:v>
                </c:pt>
                <c:pt idx="193">
                  <c:v>60.06</c:v>
                </c:pt>
                <c:pt idx="194">
                  <c:v>62.9</c:v>
                </c:pt>
                <c:pt idx="195">
                  <c:v>64.72</c:v>
                </c:pt>
                <c:pt idx="196">
                  <c:v>65.37</c:v>
                </c:pt>
                <c:pt idx="197">
                  <c:v>72.040000000000006</c:v>
                </c:pt>
                <c:pt idx="198">
                  <c:v>66.22</c:v>
                </c:pt>
                <c:pt idx="199">
                  <c:v>70.97</c:v>
                </c:pt>
                <c:pt idx="200">
                  <c:v>76.709999999999994</c:v>
                </c:pt>
                <c:pt idx="201">
                  <c:v>81.94</c:v>
                </c:pt>
                <c:pt idx="202">
                  <c:v>82.36</c:v>
                </c:pt>
                <c:pt idx="203">
                  <c:v>94.02</c:v>
                </c:pt>
                <c:pt idx="204">
                  <c:v>86.85</c:v>
                </c:pt>
                <c:pt idx="205">
                  <c:v>90.68</c:v>
                </c:pt>
                <c:pt idx="206">
                  <c:v>96.3</c:v>
                </c:pt>
                <c:pt idx="207">
                  <c:v>94.56</c:v>
                </c:pt>
                <c:pt idx="208">
                  <c:v>91.65</c:v>
                </c:pt>
                <c:pt idx="209">
                  <c:v>86.81</c:v>
                </c:pt>
                <c:pt idx="210">
                  <c:v>83.88</c:v>
                </c:pt>
                <c:pt idx="211">
                  <c:v>84.02</c:v>
                </c:pt>
                <c:pt idx="212">
                  <c:v>73.38</c:v>
                </c:pt>
                <c:pt idx="213">
                  <c:v>87.64</c:v>
                </c:pt>
                <c:pt idx="214">
                  <c:v>85.95</c:v>
                </c:pt>
                <c:pt idx="215">
                  <c:v>78.52</c:v>
                </c:pt>
                <c:pt idx="216">
                  <c:v>71.3</c:v>
                </c:pt>
                <c:pt idx="217">
                  <c:v>78.47</c:v>
                </c:pt>
                <c:pt idx="218">
                  <c:v>71.78</c:v>
                </c:pt>
                <c:pt idx="219">
                  <c:v>63.89</c:v>
                </c:pt>
                <c:pt idx="220">
                  <c:v>64.61</c:v>
                </c:pt>
                <c:pt idx="221">
                  <c:v>65.17</c:v>
                </c:pt>
                <c:pt idx="222">
                  <c:v>70.47</c:v>
                </c:pt>
                <c:pt idx="223">
                  <c:v>67.760000000000005</c:v>
                </c:pt>
                <c:pt idx="224">
                  <c:v>62.16</c:v>
                </c:pt>
                <c:pt idx="225">
                  <c:v>59.77</c:v>
                </c:pt>
                <c:pt idx="226">
                  <c:v>55.24</c:v>
                </c:pt>
                <c:pt idx="227">
                  <c:v>54.41</c:v>
                </c:pt>
                <c:pt idx="228">
                  <c:v>55.13</c:v>
                </c:pt>
                <c:pt idx="229">
                  <c:v>55.64</c:v>
                </c:pt>
                <c:pt idx="230">
                  <c:v>59.63</c:v>
                </c:pt>
                <c:pt idx="231">
                  <c:v>54.21</c:v>
                </c:pt>
                <c:pt idx="232">
                  <c:v>52.35</c:v>
                </c:pt>
                <c:pt idx="233">
                  <c:v>54.74</c:v>
                </c:pt>
                <c:pt idx="234">
                  <c:v>58.05</c:v>
                </c:pt>
                <c:pt idx="235">
                  <c:v>65.040000000000006</c:v>
                </c:pt>
                <c:pt idx="236">
                  <c:v>64.2</c:v>
                </c:pt>
                <c:pt idx="237">
                  <c:v>58.15</c:v>
                </c:pt>
                <c:pt idx="238">
                  <c:v>59.12</c:v>
                </c:pt>
                <c:pt idx="239">
                  <c:v>60.7</c:v>
                </c:pt>
                <c:pt idx="240">
                  <c:v>62.48</c:v>
                </c:pt>
                <c:pt idx="241">
                  <c:v>60.1</c:v>
                </c:pt>
                <c:pt idx="242">
                  <c:v>59.48</c:v>
                </c:pt>
                <c:pt idx="243">
                  <c:v>59.69</c:v>
                </c:pt>
                <c:pt idx="244">
                  <c:v>57.15</c:v>
                </c:pt>
                <c:pt idx="245">
                  <c:v>57.04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5C-4BB2-9D26-5D5F1B48D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0849136"/>
        <c:axId val="1929235568"/>
      </c:lineChart>
      <c:dateAx>
        <c:axId val="1980849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9235568"/>
        <c:crosses val="autoZero"/>
        <c:auto val="0"/>
        <c:lblOffset val="100"/>
        <c:baseTimeUnit val="months"/>
        <c:majorUnit val="2"/>
        <c:majorTimeUnit val="years"/>
      </c:dateAx>
      <c:valAx>
        <c:axId val="192923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Precio (MXN)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8084913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CEMEX — Precio de cierre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report!$D$1</c:f>
              <c:strCache>
                <c:ptCount val="1"/>
                <c:pt idx="0">
                  <c:v>CEMEX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report!$A$2:$A$247</c:f>
              <c:numCache>
                <c:formatCode>m/d/yyyy</c:formatCode>
                <c:ptCount val="246"/>
                <c:pt idx="0">
                  <c:v>38776.041250000002</c:v>
                </c:pt>
                <c:pt idx="1">
                  <c:v>38807.041250000002</c:v>
                </c:pt>
                <c:pt idx="2">
                  <c:v>38835.041250000002</c:v>
                </c:pt>
                <c:pt idx="3">
                  <c:v>38868.041250000002</c:v>
                </c:pt>
                <c:pt idx="4">
                  <c:v>38898.041250000002</c:v>
                </c:pt>
                <c:pt idx="5">
                  <c:v>38929.041250000002</c:v>
                </c:pt>
                <c:pt idx="6">
                  <c:v>38960.041250000002</c:v>
                </c:pt>
                <c:pt idx="7">
                  <c:v>38989.041250000002</c:v>
                </c:pt>
                <c:pt idx="8">
                  <c:v>39021.041250000002</c:v>
                </c:pt>
                <c:pt idx="9">
                  <c:v>39051.041250000002</c:v>
                </c:pt>
                <c:pt idx="10">
                  <c:v>39080.041250000002</c:v>
                </c:pt>
                <c:pt idx="11">
                  <c:v>39113.041250000002</c:v>
                </c:pt>
                <c:pt idx="12">
                  <c:v>39141.041250000002</c:v>
                </c:pt>
                <c:pt idx="13">
                  <c:v>39171.041250000002</c:v>
                </c:pt>
                <c:pt idx="14">
                  <c:v>39202.041250000002</c:v>
                </c:pt>
                <c:pt idx="15">
                  <c:v>39233.041250000002</c:v>
                </c:pt>
                <c:pt idx="16">
                  <c:v>39262.041250000002</c:v>
                </c:pt>
                <c:pt idx="17">
                  <c:v>39294.041250000002</c:v>
                </c:pt>
                <c:pt idx="18">
                  <c:v>39325.041250000002</c:v>
                </c:pt>
                <c:pt idx="19">
                  <c:v>39353.041250000002</c:v>
                </c:pt>
                <c:pt idx="20">
                  <c:v>39386.041250000002</c:v>
                </c:pt>
                <c:pt idx="21">
                  <c:v>39416.041250000002</c:v>
                </c:pt>
                <c:pt idx="22">
                  <c:v>39447.041250000002</c:v>
                </c:pt>
                <c:pt idx="23">
                  <c:v>39478.041250000002</c:v>
                </c:pt>
                <c:pt idx="24">
                  <c:v>39507.041250000002</c:v>
                </c:pt>
                <c:pt idx="25">
                  <c:v>39538.041250000002</c:v>
                </c:pt>
                <c:pt idx="26">
                  <c:v>39568.041250000002</c:v>
                </c:pt>
                <c:pt idx="27">
                  <c:v>39598.041250000002</c:v>
                </c:pt>
                <c:pt idx="28">
                  <c:v>39629.041250000002</c:v>
                </c:pt>
                <c:pt idx="29">
                  <c:v>39660.041250000002</c:v>
                </c:pt>
                <c:pt idx="30">
                  <c:v>39689.041250000002</c:v>
                </c:pt>
                <c:pt idx="31">
                  <c:v>39721.041250000002</c:v>
                </c:pt>
                <c:pt idx="32">
                  <c:v>39752.041250000002</c:v>
                </c:pt>
                <c:pt idx="33">
                  <c:v>39780.041250000002</c:v>
                </c:pt>
                <c:pt idx="34">
                  <c:v>39813.041250000002</c:v>
                </c:pt>
                <c:pt idx="35">
                  <c:v>39843.041250000002</c:v>
                </c:pt>
                <c:pt idx="36">
                  <c:v>39871.041250000002</c:v>
                </c:pt>
                <c:pt idx="37">
                  <c:v>39903.041250000002</c:v>
                </c:pt>
                <c:pt idx="38">
                  <c:v>39933.041250000002</c:v>
                </c:pt>
                <c:pt idx="39">
                  <c:v>39962.041250000002</c:v>
                </c:pt>
                <c:pt idx="40">
                  <c:v>39994.041250000002</c:v>
                </c:pt>
                <c:pt idx="41">
                  <c:v>40025.041250000002</c:v>
                </c:pt>
                <c:pt idx="42">
                  <c:v>40056.041250000002</c:v>
                </c:pt>
                <c:pt idx="43">
                  <c:v>40086.041250000002</c:v>
                </c:pt>
                <c:pt idx="44">
                  <c:v>40116.041250000002</c:v>
                </c:pt>
                <c:pt idx="45">
                  <c:v>40147.041250000002</c:v>
                </c:pt>
                <c:pt idx="46">
                  <c:v>40178.041250000002</c:v>
                </c:pt>
                <c:pt idx="47">
                  <c:v>40207.041250000002</c:v>
                </c:pt>
                <c:pt idx="48">
                  <c:v>40235.041250000002</c:v>
                </c:pt>
                <c:pt idx="49">
                  <c:v>40268.041250000002</c:v>
                </c:pt>
                <c:pt idx="50">
                  <c:v>40298.041250000002</c:v>
                </c:pt>
                <c:pt idx="51">
                  <c:v>40329.041250000002</c:v>
                </c:pt>
                <c:pt idx="52">
                  <c:v>40359.041250000002</c:v>
                </c:pt>
                <c:pt idx="53">
                  <c:v>40389.041250000002</c:v>
                </c:pt>
                <c:pt idx="54">
                  <c:v>40421.041250000002</c:v>
                </c:pt>
                <c:pt idx="55">
                  <c:v>40451.041250000002</c:v>
                </c:pt>
                <c:pt idx="56">
                  <c:v>40480.041250000002</c:v>
                </c:pt>
                <c:pt idx="57">
                  <c:v>40512.041250000002</c:v>
                </c:pt>
                <c:pt idx="58">
                  <c:v>40543.041250000002</c:v>
                </c:pt>
                <c:pt idx="59">
                  <c:v>40574.041250000002</c:v>
                </c:pt>
                <c:pt idx="60">
                  <c:v>40602.041250000002</c:v>
                </c:pt>
                <c:pt idx="61">
                  <c:v>40633.041250000002</c:v>
                </c:pt>
                <c:pt idx="62">
                  <c:v>40662.041250000002</c:v>
                </c:pt>
                <c:pt idx="63">
                  <c:v>40694.041250000002</c:v>
                </c:pt>
                <c:pt idx="64">
                  <c:v>40724.041250000002</c:v>
                </c:pt>
                <c:pt idx="65">
                  <c:v>40753.041250000002</c:v>
                </c:pt>
                <c:pt idx="66">
                  <c:v>40786.041250000002</c:v>
                </c:pt>
                <c:pt idx="67">
                  <c:v>40816.041250000002</c:v>
                </c:pt>
                <c:pt idx="68">
                  <c:v>40847.041250000002</c:v>
                </c:pt>
                <c:pt idx="69">
                  <c:v>40877.041250000002</c:v>
                </c:pt>
                <c:pt idx="70">
                  <c:v>40907.041250000002</c:v>
                </c:pt>
                <c:pt idx="71">
                  <c:v>40939.041250000002</c:v>
                </c:pt>
                <c:pt idx="72">
                  <c:v>40968.041250000002</c:v>
                </c:pt>
                <c:pt idx="73">
                  <c:v>40998.041250000002</c:v>
                </c:pt>
                <c:pt idx="74">
                  <c:v>41029.041250000002</c:v>
                </c:pt>
                <c:pt idx="75">
                  <c:v>41060.041250000002</c:v>
                </c:pt>
                <c:pt idx="76">
                  <c:v>41089.041250000002</c:v>
                </c:pt>
                <c:pt idx="77">
                  <c:v>41121.041250000002</c:v>
                </c:pt>
                <c:pt idx="78">
                  <c:v>41152.041250000002</c:v>
                </c:pt>
                <c:pt idx="79">
                  <c:v>41180.041250000002</c:v>
                </c:pt>
                <c:pt idx="80">
                  <c:v>41213.041250000002</c:v>
                </c:pt>
                <c:pt idx="81">
                  <c:v>41243.041250000002</c:v>
                </c:pt>
                <c:pt idx="82">
                  <c:v>41274.041250000002</c:v>
                </c:pt>
                <c:pt idx="83">
                  <c:v>41305.041250000002</c:v>
                </c:pt>
                <c:pt idx="84">
                  <c:v>41333.041250000002</c:v>
                </c:pt>
                <c:pt idx="85">
                  <c:v>41360.041250000002</c:v>
                </c:pt>
                <c:pt idx="86">
                  <c:v>41394.041250000002</c:v>
                </c:pt>
                <c:pt idx="87">
                  <c:v>41425.041250000002</c:v>
                </c:pt>
                <c:pt idx="88">
                  <c:v>41453.041250000002</c:v>
                </c:pt>
                <c:pt idx="89">
                  <c:v>41486.041250000002</c:v>
                </c:pt>
                <c:pt idx="90">
                  <c:v>41516.041250000002</c:v>
                </c:pt>
                <c:pt idx="91">
                  <c:v>41547.041250000002</c:v>
                </c:pt>
                <c:pt idx="92">
                  <c:v>41578.041250000002</c:v>
                </c:pt>
                <c:pt idx="93">
                  <c:v>41607.041250000002</c:v>
                </c:pt>
                <c:pt idx="94">
                  <c:v>41639.041250000002</c:v>
                </c:pt>
                <c:pt idx="95">
                  <c:v>41670.041250000002</c:v>
                </c:pt>
                <c:pt idx="96">
                  <c:v>41698.041250000002</c:v>
                </c:pt>
                <c:pt idx="97">
                  <c:v>41729.041250000002</c:v>
                </c:pt>
                <c:pt idx="98">
                  <c:v>41759.041250000002</c:v>
                </c:pt>
                <c:pt idx="99">
                  <c:v>41789.041250000002</c:v>
                </c:pt>
                <c:pt idx="100">
                  <c:v>41820.041250000002</c:v>
                </c:pt>
                <c:pt idx="101">
                  <c:v>41851.041250000002</c:v>
                </c:pt>
                <c:pt idx="102">
                  <c:v>41880.041250000002</c:v>
                </c:pt>
                <c:pt idx="103">
                  <c:v>41912.041250000002</c:v>
                </c:pt>
                <c:pt idx="104">
                  <c:v>41943.041250000002</c:v>
                </c:pt>
                <c:pt idx="105">
                  <c:v>41971.041250000002</c:v>
                </c:pt>
                <c:pt idx="106">
                  <c:v>42004.041250000002</c:v>
                </c:pt>
                <c:pt idx="107">
                  <c:v>42034.041250000002</c:v>
                </c:pt>
                <c:pt idx="108">
                  <c:v>42062.041250000002</c:v>
                </c:pt>
                <c:pt idx="109">
                  <c:v>42094.041250000002</c:v>
                </c:pt>
                <c:pt idx="110">
                  <c:v>42124.041250000002</c:v>
                </c:pt>
                <c:pt idx="111">
                  <c:v>42153.041250000002</c:v>
                </c:pt>
                <c:pt idx="112">
                  <c:v>42185.041250000002</c:v>
                </c:pt>
                <c:pt idx="113">
                  <c:v>42216.041250000002</c:v>
                </c:pt>
                <c:pt idx="114">
                  <c:v>42247.041250000002</c:v>
                </c:pt>
                <c:pt idx="115">
                  <c:v>42277.041250000002</c:v>
                </c:pt>
                <c:pt idx="116">
                  <c:v>42307.041250000002</c:v>
                </c:pt>
                <c:pt idx="117">
                  <c:v>42338.041250000002</c:v>
                </c:pt>
                <c:pt idx="118">
                  <c:v>42369.041250000002</c:v>
                </c:pt>
                <c:pt idx="119">
                  <c:v>42398.041250000002</c:v>
                </c:pt>
                <c:pt idx="120">
                  <c:v>42429.041250000002</c:v>
                </c:pt>
                <c:pt idx="121">
                  <c:v>42460.041250000002</c:v>
                </c:pt>
                <c:pt idx="122">
                  <c:v>42489.041250000002</c:v>
                </c:pt>
                <c:pt idx="123">
                  <c:v>42521.041250000002</c:v>
                </c:pt>
                <c:pt idx="124">
                  <c:v>42551.041250000002</c:v>
                </c:pt>
                <c:pt idx="125">
                  <c:v>42580.041250000002</c:v>
                </c:pt>
                <c:pt idx="126">
                  <c:v>42613.041250000002</c:v>
                </c:pt>
                <c:pt idx="127">
                  <c:v>42643.041250000002</c:v>
                </c:pt>
                <c:pt idx="128">
                  <c:v>42674.041250000002</c:v>
                </c:pt>
                <c:pt idx="129">
                  <c:v>42704.041250000002</c:v>
                </c:pt>
                <c:pt idx="130">
                  <c:v>42734.041250000002</c:v>
                </c:pt>
                <c:pt idx="131">
                  <c:v>42766.041250000002</c:v>
                </c:pt>
                <c:pt idx="132">
                  <c:v>42794.041250000002</c:v>
                </c:pt>
                <c:pt idx="133">
                  <c:v>42825.041250000002</c:v>
                </c:pt>
                <c:pt idx="134">
                  <c:v>42853.041250000002</c:v>
                </c:pt>
                <c:pt idx="135">
                  <c:v>42886.041250000002</c:v>
                </c:pt>
                <c:pt idx="136">
                  <c:v>42916.041250000002</c:v>
                </c:pt>
                <c:pt idx="137">
                  <c:v>42947.041250000002</c:v>
                </c:pt>
                <c:pt idx="138">
                  <c:v>42978.041250000002</c:v>
                </c:pt>
                <c:pt idx="139">
                  <c:v>43007.041250000002</c:v>
                </c:pt>
                <c:pt idx="140">
                  <c:v>43039.041250000002</c:v>
                </c:pt>
                <c:pt idx="141">
                  <c:v>43069.041250000002</c:v>
                </c:pt>
                <c:pt idx="142">
                  <c:v>43098.041250000002</c:v>
                </c:pt>
                <c:pt idx="143">
                  <c:v>43131.041250000002</c:v>
                </c:pt>
                <c:pt idx="144">
                  <c:v>43159.041250000002</c:v>
                </c:pt>
                <c:pt idx="145">
                  <c:v>43187.041250000002</c:v>
                </c:pt>
                <c:pt idx="146">
                  <c:v>43220.041250000002</c:v>
                </c:pt>
                <c:pt idx="147">
                  <c:v>43251.041250000002</c:v>
                </c:pt>
                <c:pt idx="148">
                  <c:v>43280.041250000002</c:v>
                </c:pt>
                <c:pt idx="149">
                  <c:v>43312.041250000002</c:v>
                </c:pt>
                <c:pt idx="150">
                  <c:v>43343.041250000002</c:v>
                </c:pt>
                <c:pt idx="151">
                  <c:v>43371.041250000002</c:v>
                </c:pt>
                <c:pt idx="152">
                  <c:v>43404.041250000002</c:v>
                </c:pt>
                <c:pt idx="153">
                  <c:v>43434.041250000002</c:v>
                </c:pt>
                <c:pt idx="154">
                  <c:v>43465.041250000002</c:v>
                </c:pt>
                <c:pt idx="155">
                  <c:v>43496.041250000002</c:v>
                </c:pt>
                <c:pt idx="156">
                  <c:v>43524.041250000002</c:v>
                </c:pt>
                <c:pt idx="157">
                  <c:v>43553.041250000002</c:v>
                </c:pt>
                <c:pt idx="158">
                  <c:v>43585.041250000002</c:v>
                </c:pt>
                <c:pt idx="159">
                  <c:v>43616.041250000002</c:v>
                </c:pt>
                <c:pt idx="160">
                  <c:v>43644.041250000002</c:v>
                </c:pt>
                <c:pt idx="161">
                  <c:v>43677.041250000002</c:v>
                </c:pt>
                <c:pt idx="162">
                  <c:v>43707.041250000002</c:v>
                </c:pt>
                <c:pt idx="163">
                  <c:v>43738.041250000002</c:v>
                </c:pt>
                <c:pt idx="164">
                  <c:v>43769.041250000002</c:v>
                </c:pt>
                <c:pt idx="165">
                  <c:v>43798.041250000002</c:v>
                </c:pt>
                <c:pt idx="166">
                  <c:v>43830.041250000002</c:v>
                </c:pt>
                <c:pt idx="167">
                  <c:v>43861.041250000002</c:v>
                </c:pt>
                <c:pt idx="168">
                  <c:v>43889.041250000002</c:v>
                </c:pt>
                <c:pt idx="169">
                  <c:v>43921.041250000002</c:v>
                </c:pt>
                <c:pt idx="170">
                  <c:v>43951.041250000002</c:v>
                </c:pt>
                <c:pt idx="171">
                  <c:v>43980.041250000002</c:v>
                </c:pt>
                <c:pt idx="172">
                  <c:v>44012.041250000002</c:v>
                </c:pt>
                <c:pt idx="173">
                  <c:v>44043.041250000002</c:v>
                </c:pt>
                <c:pt idx="174">
                  <c:v>44074.041250000002</c:v>
                </c:pt>
                <c:pt idx="175">
                  <c:v>44104.041250000002</c:v>
                </c:pt>
                <c:pt idx="176">
                  <c:v>44134.041250000002</c:v>
                </c:pt>
                <c:pt idx="177">
                  <c:v>44165.041250000002</c:v>
                </c:pt>
                <c:pt idx="178">
                  <c:v>44196.041250000002</c:v>
                </c:pt>
                <c:pt idx="179">
                  <c:v>44225.041250000002</c:v>
                </c:pt>
                <c:pt idx="180">
                  <c:v>44253.041250000002</c:v>
                </c:pt>
                <c:pt idx="181">
                  <c:v>44286.041250000002</c:v>
                </c:pt>
                <c:pt idx="182">
                  <c:v>44316.041250000002</c:v>
                </c:pt>
                <c:pt idx="183">
                  <c:v>44347.041250000002</c:v>
                </c:pt>
                <c:pt idx="184">
                  <c:v>44377.041250000002</c:v>
                </c:pt>
                <c:pt idx="185">
                  <c:v>44407.041250000002</c:v>
                </c:pt>
                <c:pt idx="186">
                  <c:v>44439.041250000002</c:v>
                </c:pt>
                <c:pt idx="187">
                  <c:v>44469.041250000002</c:v>
                </c:pt>
                <c:pt idx="188">
                  <c:v>44498.041250000002</c:v>
                </c:pt>
                <c:pt idx="189">
                  <c:v>44530.041250000002</c:v>
                </c:pt>
                <c:pt idx="190">
                  <c:v>44561.041250000002</c:v>
                </c:pt>
                <c:pt idx="191">
                  <c:v>44592.041250000002</c:v>
                </c:pt>
                <c:pt idx="192">
                  <c:v>44620.041250000002</c:v>
                </c:pt>
                <c:pt idx="193">
                  <c:v>44651.041250000002</c:v>
                </c:pt>
                <c:pt idx="194">
                  <c:v>44680.041250000002</c:v>
                </c:pt>
                <c:pt idx="195">
                  <c:v>44712.041250000002</c:v>
                </c:pt>
                <c:pt idx="196">
                  <c:v>44742.041250000002</c:v>
                </c:pt>
                <c:pt idx="197">
                  <c:v>44771.041250000002</c:v>
                </c:pt>
                <c:pt idx="198">
                  <c:v>44804.041250000002</c:v>
                </c:pt>
                <c:pt idx="199">
                  <c:v>44834.041250000002</c:v>
                </c:pt>
                <c:pt idx="200">
                  <c:v>44865.041250000002</c:v>
                </c:pt>
                <c:pt idx="201">
                  <c:v>44895.041250000002</c:v>
                </c:pt>
                <c:pt idx="202">
                  <c:v>44925.041250000002</c:v>
                </c:pt>
                <c:pt idx="203">
                  <c:v>44957.041250000002</c:v>
                </c:pt>
                <c:pt idx="204">
                  <c:v>44985.041250000002</c:v>
                </c:pt>
                <c:pt idx="205">
                  <c:v>45016.041250000002</c:v>
                </c:pt>
                <c:pt idx="206">
                  <c:v>45044.041250000002</c:v>
                </c:pt>
                <c:pt idx="207">
                  <c:v>45077.041250000002</c:v>
                </c:pt>
                <c:pt idx="208">
                  <c:v>45107.041250000002</c:v>
                </c:pt>
                <c:pt idx="209">
                  <c:v>45138.041250000002</c:v>
                </c:pt>
                <c:pt idx="210">
                  <c:v>45169.041250000002</c:v>
                </c:pt>
                <c:pt idx="211">
                  <c:v>45198.041250000002</c:v>
                </c:pt>
                <c:pt idx="212">
                  <c:v>45230.041250000002</c:v>
                </c:pt>
                <c:pt idx="213">
                  <c:v>45260.041250000002</c:v>
                </c:pt>
                <c:pt idx="214">
                  <c:v>45289.041250000002</c:v>
                </c:pt>
                <c:pt idx="215">
                  <c:v>45322.041250000002</c:v>
                </c:pt>
                <c:pt idx="216">
                  <c:v>45351.041250000002</c:v>
                </c:pt>
                <c:pt idx="217">
                  <c:v>45378.041250000002</c:v>
                </c:pt>
                <c:pt idx="218">
                  <c:v>45412.041250000002</c:v>
                </c:pt>
                <c:pt idx="219">
                  <c:v>45443.041250000002</c:v>
                </c:pt>
                <c:pt idx="220">
                  <c:v>45471.041250000002</c:v>
                </c:pt>
                <c:pt idx="221">
                  <c:v>45504.041250000002</c:v>
                </c:pt>
                <c:pt idx="222">
                  <c:v>45534.041250000002</c:v>
                </c:pt>
                <c:pt idx="223">
                  <c:v>45565.041250000002</c:v>
                </c:pt>
                <c:pt idx="224">
                  <c:v>45596.041250000002</c:v>
                </c:pt>
                <c:pt idx="225">
                  <c:v>45625.041250000002</c:v>
                </c:pt>
                <c:pt idx="226">
                  <c:v>45657.041250000002</c:v>
                </c:pt>
                <c:pt idx="227">
                  <c:v>45688.041250000002</c:v>
                </c:pt>
                <c:pt idx="228">
                  <c:v>45716.041250000002</c:v>
                </c:pt>
                <c:pt idx="229">
                  <c:v>45747.041250000002</c:v>
                </c:pt>
                <c:pt idx="230">
                  <c:v>45777.041250000002</c:v>
                </c:pt>
                <c:pt idx="231">
                  <c:v>45807.041250000002</c:v>
                </c:pt>
                <c:pt idx="232">
                  <c:v>45838.041250000002</c:v>
                </c:pt>
                <c:pt idx="233">
                  <c:v>45869.041250000002</c:v>
                </c:pt>
                <c:pt idx="234">
                  <c:v>45898.041250000002</c:v>
                </c:pt>
                <c:pt idx="235">
                  <c:v>45930.041250000002</c:v>
                </c:pt>
                <c:pt idx="236">
                  <c:v>45961.041250000002</c:v>
                </c:pt>
                <c:pt idx="237">
                  <c:v>45989.041250000002</c:v>
                </c:pt>
                <c:pt idx="238">
                  <c:v>46022.041250000002</c:v>
                </c:pt>
                <c:pt idx="239">
                  <c:v>46052.041250000002</c:v>
                </c:pt>
                <c:pt idx="240">
                  <c:v>46080.041250000002</c:v>
                </c:pt>
                <c:pt idx="241">
                  <c:v>46112.041250000002</c:v>
                </c:pt>
                <c:pt idx="242">
                  <c:v>46142.041250000002</c:v>
                </c:pt>
                <c:pt idx="243">
                  <c:v>46171.041250000002</c:v>
                </c:pt>
                <c:pt idx="244">
                  <c:v>46203.041250000002</c:v>
                </c:pt>
                <c:pt idx="245">
                  <c:v>46209.041250000002</c:v>
                </c:pt>
              </c:numCache>
            </c:numRef>
          </c:cat>
          <c:val>
            <c:numRef>
              <c:f>report!$D$2:$D$247</c:f>
              <c:numCache>
                <c:formatCode>##,##0.00###########</c:formatCode>
                <c:ptCount val="246"/>
                <c:pt idx="0">
                  <c:v>22.8</c:v>
                </c:pt>
                <c:pt idx="1">
                  <c:v>24.91</c:v>
                </c:pt>
                <c:pt idx="2">
                  <c:v>26.28</c:v>
                </c:pt>
                <c:pt idx="3">
                  <c:v>22.67</c:v>
                </c:pt>
                <c:pt idx="4">
                  <c:v>22.8</c:v>
                </c:pt>
                <c:pt idx="5">
                  <c:v>21.78</c:v>
                </c:pt>
                <c:pt idx="6">
                  <c:v>22.1</c:v>
                </c:pt>
                <c:pt idx="7">
                  <c:v>23.29</c:v>
                </c:pt>
                <c:pt idx="8">
                  <c:v>23.29</c:v>
                </c:pt>
                <c:pt idx="9">
                  <c:v>25.2</c:v>
                </c:pt>
                <c:pt idx="10">
                  <c:v>25.72</c:v>
                </c:pt>
                <c:pt idx="11">
                  <c:v>27.35</c:v>
                </c:pt>
                <c:pt idx="12">
                  <c:v>26.77</c:v>
                </c:pt>
                <c:pt idx="13">
                  <c:v>25.46</c:v>
                </c:pt>
                <c:pt idx="14">
                  <c:v>25.02</c:v>
                </c:pt>
                <c:pt idx="15">
                  <c:v>29.3</c:v>
                </c:pt>
                <c:pt idx="16">
                  <c:v>27.96</c:v>
                </c:pt>
                <c:pt idx="17">
                  <c:v>24.92</c:v>
                </c:pt>
                <c:pt idx="18">
                  <c:v>25.01</c:v>
                </c:pt>
                <c:pt idx="19">
                  <c:v>23.05</c:v>
                </c:pt>
                <c:pt idx="20">
                  <c:v>22.74</c:v>
                </c:pt>
                <c:pt idx="21">
                  <c:v>21.86</c:v>
                </c:pt>
                <c:pt idx="22">
                  <c:v>19.88</c:v>
                </c:pt>
                <c:pt idx="23">
                  <c:v>20.78</c:v>
                </c:pt>
                <c:pt idx="24">
                  <c:v>20.66</c:v>
                </c:pt>
                <c:pt idx="25">
                  <c:v>19.760000000000002</c:v>
                </c:pt>
                <c:pt idx="26">
                  <c:v>20.47</c:v>
                </c:pt>
                <c:pt idx="27">
                  <c:v>20.66</c:v>
                </c:pt>
                <c:pt idx="28">
                  <c:v>17.940000000000001</c:v>
                </c:pt>
                <c:pt idx="29">
                  <c:v>15.02</c:v>
                </c:pt>
                <c:pt idx="30">
                  <c:v>14.54</c:v>
                </c:pt>
                <c:pt idx="31">
                  <c:v>13.17</c:v>
                </c:pt>
                <c:pt idx="32">
                  <c:v>6.75</c:v>
                </c:pt>
                <c:pt idx="33">
                  <c:v>6.74</c:v>
                </c:pt>
                <c:pt idx="34">
                  <c:v>8.93</c:v>
                </c:pt>
                <c:pt idx="35">
                  <c:v>7.94</c:v>
                </c:pt>
                <c:pt idx="36">
                  <c:v>5.78</c:v>
                </c:pt>
                <c:pt idx="37">
                  <c:v>6.27</c:v>
                </c:pt>
                <c:pt idx="38">
                  <c:v>7.19</c:v>
                </c:pt>
                <c:pt idx="39">
                  <c:v>9.2899999999999991</c:v>
                </c:pt>
                <c:pt idx="40">
                  <c:v>9.02</c:v>
                </c:pt>
                <c:pt idx="41">
                  <c:v>9.08</c:v>
                </c:pt>
                <c:pt idx="42">
                  <c:v>12.91</c:v>
                </c:pt>
                <c:pt idx="43">
                  <c:v>12.77</c:v>
                </c:pt>
                <c:pt idx="44">
                  <c:v>10.06</c:v>
                </c:pt>
                <c:pt idx="45">
                  <c:v>10.74</c:v>
                </c:pt>
                <c:pt idx="46">
                  <c:v>11.38</c:v>
                </c:pt>
                <c:pt idx="47">
                  <c:v>8.94</c:v>
                </c:pt>
                <c:pt idx="48">
                  <c:v>8.9700000000000006</c:v>
                </c:pt>
                <c:pt idx="49">
                  <c:v>9.31</c:v>
                </c:pt>
                <c:pt idx="50">
                  <c:v>10.76</c:v>
                </c:pt>
                <c:pt idx="51">
                  <c:v>10.67</c:v>
                </c:pt>
                <c:pt idx="52">
                  <c:v>9.58</c:v>
                </c:pt>
                <c:pt idx="53">
                  <c:v>9.1199999999999992</c:v>
                </c:pt>
                <c:pt idx="54">
                  <c:v>7.81</c:v>
                </c:pt>
                <c:pt idx="55">
                  <c:v>8.19</c:v>
                </c:pt>
                <c:pt idx="56">
                  <c:v>8.2200000000000006</c:v>
                </c:pt>
                <c:pt idx="57">
                  <c:v>8.6</c:v>
                </c:pt>
                <c:pt idx="58">
                  <c:v>10.01</c:v>
                </c:pt>
                <c:pt idx="59">
                  <c:v>8.7100000000000009</c:v>
                </c:pt>
                <c:pt idx="60">
                  <c:v>8.27</c:v>
                </c:pt>
                <c:pt idx="61">
                  <c:v>8.4</c:v>
                </c:pt>
                <c:pt idx="62">
                  <c:v>7.89</c:v>
                </c:pt>
                <c:pt idx="63">
                  <c:v>7.89</c:v>
                </c:pt>
                <c:pt idx="64">
                  <c:v>7.95</c:v>
                </c:pt>
                <c:pt idx="65">
                  <c:v>6.53</c:v>
                </c:pt>
                <c:pt idx="66">
                  <c:v>5.26</c:v>
                </c:pt>
                <c:pt idx="67">
                  <c:v>3.51</c:v>
                </c:pt>
                <c:pt idx="68">
                  <c:v>4.58</c:v>
                </c:pt>
                <c:pt idx="69">
                  <c:v>5.01</c:v>
                </c:pt>
                <c:pt idx="70">
                  <c:v>5.89</c:v>
                </c:pt>
                <c:pt idx="71">
                  <c:v>6.98</c:v>
                </c:pt>
                <c:pt idx="72">
                  <c:v>7.76</c:v>
                </c:pt>
                <c:pt idx="73">
                  <c:v>8.1</c:v>
                </c:pt>
                <c:pt idx="74">
                  <c:v>7.73</c:v>
                </c:pt>
                <c:pt idx="75">
                  <c:v>6.59</c:v>
                </c:pt>
                <c:pt idx="76">
                  <c:v>7.37</c:v>
                </c:pt>
                <c:pt idx="77">
                  <c:v>7.63</c:v>
                </c:pt>
                <c:pt idx="78">
                  <c:v>8.01</c:v>
                </c:pt>
                <c:pt idx="79">
                  <c:v>8.8000000000000007</c:v>
                </c:pt>
                <c:pt idx="80">
                  <c:v>9.76</c:v>
                </c:pt>
                <c:pt idx="81">
                  <c:v>9.4700000000000006</c:v>
                </c:pt>
                <c:pt idx="82">
                  <c:v>10.44</c:v>
                </c:pt>
                <c:pt idx="83">
                  <c:v>11.4</c:v>
                </c:pt>
                <c:pt idx="84">
                  <c:v>11.28</c:v>
                </c:pt>
                <c:pt idx="85">
                  <c:v>12.35</c:v>
                </c:pt>
                <c:pt idx="86">
                  <c:v>11.7</c:v>
                </c:pt>
                <c:pt idx="87">
                  <c:v>12.76</c:v>
                </c:pt>
                <c:pt idx="88">
                  <c:v>11.76</c:v>
                </c:pt>
                <c:pt idx="89">
                  <c:v>12.58</c:v>
                </c:pt>
                <c:pt idx="90">
                  <c:v>12.97</c:v>
                </c:pt>
                <c:pt idx="91">
                  <c:v>12.53</c:v>
                </c:pt>
                <c:pt idx="92">
                  <c:v>11.86</c:v>
                </c:pt>
                <c:pt idx="93">
                  <c:v>12.35</c:v>
                </c:pt>
                <c:pt idx="94">
                  <c:v>13.11</c:v>
                </c:pt>
                <c:pt idx="95">
                  <c:v>14.13</c:v>
                </c:pt>
                <c:pt idx="96">
                  <c:v>14.82</c:v>
                </c:pt>
                <c:pt idx="97">
                  <c:v>14.1</c:v>
                </c:pt>
                <c:pt idx="98">
                  <c:v>14.87</c:v>
                </c:pt>
                <c:pt idx="99">
                  <c:v>14.72</c:v>
                </c:pt>
                <c:pt idx="100">
                  <c:v>15.27</c:v>
                </c:pt>
                <c:pt idx="101">
                  <c:v>14.74</c:v>
                </c:pt>
                <c:pt idx="102">
                  <c:v>15.44</c:v>
                </c:pt>
                <c:pt idx="103">
                  <c:v>15.56</c:v>
                </c:pt>
                <c:pt idx="104">
                  <c:v>14.75</c:v>
                </c:pt>
                <c:pt idx="105">
                  <c:v>15.35</c:v>
                </c:pt>
                <c:pt idx="106">
                  <c:v>13.37</c:v>
                </c:pt>
                <c:pt idx="107">
                  <c:v>11.83</c:v>
                </c:pt>
                <c:pt idx="108">
                  <c:v>13.47</c:v>
                </c:pt>
                <c:pt idx="109">
                  <c:v>12.86</c:v>
                </c:pt>
                <c:pt idx="110">
                  <c:v>13.68</c:v>
                </c:pt>
                <c:pt idx="111">
                  <c:v>13.33</c:v>
                </c:pt>
                <c:pt idx="112">
                  <c:v>13.322855000000001</c:v>
                </c:pt>
                <c:pt idx="113">
                  <c:v>12.69</c:v>
                </c:pt>
                <c:pt idx="114">
                  <c:v>12.14</c:v>
                </c:pt>
                <c:pt idx="115">
                  <c:v>10.9</c:v>
                </c:pt>
                <c:pt idx="116">
                  <c:v>9.68</c:v>
                </c:pt>
                <c:pt idx="117">
                  <c:v>9.7200000000000006</c:v>
                </c:pt>
                <c:pt idx="118">
                  <c:v>8.7200000000000006</c:v>
                </c:pt>
                <c:pt idx="119">
                  <c:v>7.58</c:v>
                </c:pt>
                <c:pt idx="120">
                  <c:v>9.25</c:v>
                </c:pt>
                <c:pt idx="121">
                  <c:v>11.6</c:v>
                </c:pt>
                <c:pt idx="122">
                  <c:v>12.28</c:v>
                </c:pt>
                <c:pt idx="123">
                  <c:v>11.28</c:v>
                </c:pt>
                <c:pt idx="124">
                  <c:v>10.87</c:v>
                </c:pt>
                <c:pt idx="125">
                  <c:v>13.74</c:v>
                </c:pt>
                <c:pt idx="126">
                  <c:v>14.97</c:v>
                </c:pt>
                <c:pt idx="127">
                  <c:v>14.77</c:v>
                </c:pt>
                <c:pt idx="128">
                  <c:v>15.73</c:v>
                </c:pt>
                <c:pt idx="129">
                  <c:v>15.39</c:v>
                </c:pt>
                <c:pt idx="130">
                  <c:v>15.9</c:v>
                </c:pt>
                <c:pt idx="131">
                  <c:v>18.52</c:v>
                </c:pt>
                <c:pt idx="132">
                  <c:v>16.36</c:v>
                </c:pt>
                <c:pt idx="133">
                  <c:v>16.3</c:v>
                </c:pt>
                <c:pt idx="134">
                  <c:v>16.649999999999999</c:v>
                </c:pt>
                <c:pt idx="135">
                  <c:v>15.42</c:v>
                </c:pt>
                <c:pt idx="136">
                  <c:v>17.05</c:v>
                </c:pt>
                <c:pt idx="137">
                  <c:v>17.2</c:v>
                </c:pt>
                <c:pt idx="138">
                  <c:v>16.71</c:v>
                </c:pt>
                <c:pt idx="139">
                  <c:v>16.55</c:v>
                </c:pt>
                <c:pt idx="140">
                  <c:v>15.58</c:v>
                </c:pt>
                <c:pt idx="141">
                  <c:v>14.26</c:v>
                </c:pt>
                <c:pt idx="142">
                  <c:v>14.7</c:v>
                </c:pt>
                <c:pt idx="143">
                  <c:v>15.48</c:v>
                </c:pt>
                <c:pt idx="144">
                  <c:v>12.45</c:v>
                </c:pt>
                <c:pt idx="145">
                  <c:v>12.03</c:v>
                </c:pt>
                <c:pt idx="146">
                  <c:v>11.7</c:v>
                </c:pt>
                <c:pt idx="147">
                  <c:v>11.86</c:v>
                </c:pt>
                <c:pt idx="148">
                  <c:v>13.06</c:v>
                </c:pt>
                <c:pt idx="149">
                  <c:v>13.89</c:v>
                </c:pt>
                <c:pt idx="150">
                  <c:v>13.54</c:v>
                </c:pt>
                <c:pt idx="151">
                  <c:v>13.14</c:v>
                </c:pt>
                <c:pt idx="152">
                  <c:v>10.14</c:v>
                </c:pt>
                <c:pt idx="153">
                  <c:v>10.47</c:v>
                </c:pt>
                <c:pt idx="154">
                  <c:v>9.49</c:v>
                </c:pt>
                <c:pt idx="155">
                  <c:v>10.33</c:v>
                </c:pt>
                <c:pt idx="156">
                  <c:v>9.4600000000000009</c:v>
                </c:pt>
                <c:pt idx="157">
                  <c:v>9.07</c:v>
                </c:pt>
                <c:pt idx="158">
                  <c:v>8.77</c:v>
                </c:pt>
                <c:pt idx="159">
                  <c:v>7.99</c:v>
                </c:pt>
                <c:pt idx="160">
                  <c:v>8.09</c:v>
                </c:pt>
                <c:pt idx="161">
                  <c:v>6.81</c:v>
                </c:pt>
                <c:pt idx="162">
                  <c:v>7.47</c:v>
                </c:pt>
                <c:pt idx="163">
                  <c:v>7.69</c:v>
                </c:pt>
                <c:pt idx="164">
                  <c:v>7.23</c:v>
                </c:pt>
                <c:pt idx="165">
                  <c:v>7.15</c:v>
                </c:pt>
                <c:pt idx="166">
                  <c:v>7.08</c:v>
                </c:pt>
                <c:pt idx="167">
                  <c:v>7.6</c:v>
                </c:pt>
                <c:pt idx="168">
                  <c:v>6.34</c:v>
                </c:pt>
                <c:pt idx="169">
                  <c:v>4.93</c:v>
                </c:pt>
                <c:pt idx="170">
                  <c:v>5.07</c:v>
                </c:pt>
                <c:pt idx="171">
                  <c:v>5.25</c:v>
                </c:pt>
                <c:pt idx="172">
                  <c:v>6.48</c:v>
                </c:pt>
                <c:pt idx="173">
                  <c:v>6.82</c:v>
                </c:pt>
                <c:pt idx="174">
                  <c:v>7.02</c:v>
                </c:pt>
                <c:pt idx="175">
                  <c:v>8.3800000000000008</c:v>
                </c:pt>
                <c:pt idx="176">
                  <c:v>8.76</c:v>
                </c:pt>
                <c:pt idx="177">
                  <c:v>9.1999999999999993</c:v>
                </c:pt>
                <c:pt idx="178">
                  <c:v>10.27</c:v>
                </c:pt>
                <c:pt idx="179">
                  <c:v>11.76</c:v>
                </c:pt>
                <c:pt idx="180">
                  <c:v>13.94</c:v>
                </c:pt>
                <c:pt idx="181">
                  <c:v>14.42</c:v>
                </c:pt>
                <c:pt idx="182">
                  <c:v>16.09</c:v>
                </c:pt>
                <c:pt idx="183">
                  <c:v>16.809999999999999</c:v>
                </c:pt>
                <c:pt idx="184">
                  <c:v>16.82</c:v>
                </c:pt>
                <c:pt idx="185">
                  <c:v>16.239999999999998</c:v>
                </c:pt>
                <c:pt idx="186">
                  <c:v>16.5</c:v>
                </c:pt>
                <c:pt idx="187">
                  <c:v>14.89</c:v>
                </c:pt>
                <c:pt idx="188">
                  <c:v>13.24</c:v>
                </c:pt>
                <c:pt idx="189">
                  <c:v>13.3</c:v>
                </c:pt>
                <c:pt idx="190">
                  <c:v>13.99</c:v>
                </c:pt>
                <c:pt idx="191">
                  <c:v>12.6</c:v>
                </c:pt>
                <c:pt idx="192">
                  <c:v>10.52</c:v>
                </c:pt>
                <c:pt idx="193">
                  <c:v>10.69</c:v>
                </c:pt>
                <c:pt idx="194">
                  <c:v>8.98</c:v>
                </c:pt>
                <c:pt idx="195">
                  <c:v>9.26</c:v>
                </c:pt>
                <c:pt idx="196">
                  <c:v>7.83</c:v>
                </c:pt>
                <c:pt idx="197">
                  <c:v>8.23</c:v>
                </c:pt>
                <c:pt idx="198">
                  <c:v>7.47</c:v>
                </c:pt>
                <c:pt idx="199">
                  <c:v>6.94</c:v>
                </c:pt>
                <c:pt idx="200">
                  <c:v>7.7</c:v>
                </c:pt>
                <c:pt idx="201">
                  <c:v>8.85</c:v>
                </c:pt>
                <c:pt idx="202">
                  <c:v>7.88</c:v>
                </c:pt>
                <c:pt idx="203">
                  <c:v>10.039999999999999</c:v>
                </c:pt>
                <c:pt idx="204">
                  <c:v>9.16</c:v>
                </c:pt>
                <c:pt idx="205">
                  <c:v>9.89</c:v>
                </c:pt>
                <c:pt idx="206">
                  <c:v>10.8</c:v>
                </c:pt>
                <c:pt idx="207">
                  <c:v>10.64</c:v>
                </c:pt>
                <c:pt idx="208">
                  <c:v>12.1</c:v>
                </c:pt>
                <c:pt idx="209">
                  <c:v>12.72</c:v>
                </c:pt>
                <c:pt idx="210">
                  <c:v>13.45</c:v>
                </c:pt>
                <c:pt idx="211">
                  <c:v>11.37</c:v>
                </c:pt>
                <c:pt idx="212">
                  <c:v>10.83</c:v>
                </c:pt>
                <c:pt idx="213">
                  <c:v>12.07</c:v>
                </c:pt>
                <c:pt idx="214">
                  <c:v>13.22</c:v>
                </c:pt>
                <c:pt idx="215">
                  <c:v>14.3</c:v>
                </c:pt>
                <c:pt idx="216">
                  <c:v>13.03</c:v>
                </c:pt>
                <c:pt idx="217">
                  <c:v>14.67</c:v>
                </c:pt>
                <c:pt idx="218">
                  <c:v>13.57</c:v>
                </c:pt>
                <c:pt idx="219">
                  <c:v>12.77</c:v>
                </c:pt>
                <c:pt idx="220">
                  <c:v>11.71</c:v>
                </c:pt>
                <c:pt idx="221">
                  <c:v>12.04</c:v>
                </c:pt>
                <c:pt idx="222">
                  <c:v>11.97</c:v>
                </c:pt>
                <c:pt idx="223">
                  <c:v>12.06</c:v>
                </c:pt>
                <c:pt idx="224">
                  <c:v>10.54</c:v>
                </c:pt>
                <c:pt idx="225">
                  <c:v>11.14</c:v>
                </c:pt>
                <c:pt idx="226">
                  <c:v>11.68</c:v>
                </c:pt>
                <c:pt idx="227">
                  <c:v>12.3</c:v>
                </c:pt>
                <c:pt idx="228">
                  <c:v>12.63</c:v>
                </c:pt>
                <c:pt idx="229">
                  <c:v>11.55</c:v>
                </c:pt>
                <c:pt idx="230">
                  <c:v>12.1</c:v>
                </c:pt>
                <c:pt idx="231">
                  <c:v>13.28</c:v>
                </c:pt>
                <c:pt idx="232">
                  <c:v>12.95</c:v>
                </c:pt>
                <c:pt idx="233">
                  <c:v>16.47</c:v>
                </c:pt>
                <c:pt idx="234">
                  <c:v>16.89</c:v>
                </c:pt>
                <c:pt idx="235">
                  <c:v>16.399999999999999</c:v>
                </c:pt>
                <c:pt idx="236">
                  <c:v>18.88</c:v>
                </c:pt>
                <c:pt idx="237">
                  <c:v>19.37</c:v>
                </c:pt>
                <c:pt idx="238">
                  <c:v>20.67</c:v>
                </c:pt>
                <c:pt idx="239">
                  <c:v>21.68</c:v>
                </c:pt>
                <c:pt idx="240">
                  <c:v>21.56</c:v>
                </c:pt>
                <c:pt idx="241">
                  <c:v>20.55</c:v>
                </c:pt>
                <c:pt idx="242">
                  <c:v>21.45</c:v>
                </c:pt>
                <c:pt idx="243">
                  <c:v>22.83</c:v>
                </c:pt>
                <c:pt idx="244">
                  <c:v>21</c:v>
                </c:pt>
                <c:pt idx="245">
                  <c:v>21.41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10-49EA-8C18-EEB0655C9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936592"/>
        <c:axId val="1929234128"/>
      </c:lineChart>
      <c:dateAx>
        <c:axId val="64936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9234128"/>
        <c:crosses val="autoZero"/>
        <c:auto val="0"/>
        <c:lblOffset val="100"/>
        <c:baseTimeUnit val="months"/>
        <c:majorUnit val="2"/>
        <c:majorTimeUnit val="years"/>
      </c:dateAx>
      <c:valAx>
        <c:axId val="192923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Precio (MXN)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93659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FEMSA — Precio de cierre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report!$F$1</c:f>
              <c:strCache>
                <c:ptCount val="1"/>
                <c:pt idx="0">
                  <c:v>FEMSA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report!$A$2:$A$247</c:f>
              <c:numCache>
                <c:formatCode>m/d/yyyy</c:formatCode>
                <c:ptCount val="246"/>
                <c:pt idx="0">
                  <c:v>38776.041250000002</c:v>
                </c:pt>
                <c:pt idx="1">
                  <c:v>38807.041250000002</c:v>
                </c:pt>
                <c:pt idx="2">
                  <c:v>38835.041250000002</c:v>
                </c:pt>
                <c:pt idx="3">
                  <c:v>38868.041250000002</c:v>
                </c:pt>
                <c:pt idx="4">
                  <c:v>38898.041250000002</c:v>
                </c:pt>
                <c:pt idx="5">
                  <c:v>38929.041250000002</c:v>
                </c:pt>
                <c:pt idx="6">
                  <c:v>38960.041250000002</c:v>
                </c:pt>
                <c:pt idx="7">
                  <c:v>38989.041250000002</c:v>
                </c:pt>
                <c:pt idx="8">
                  <c:v>39021.041250000002</c:v>
                </c:pt>
                <c:pt idx="9">
                  <c:v>39051.041250000002</c:v>
                </c:pt>
                <c:pt idx="10">
                  <c:v>39080.041250000002</c:v>
                </c:pt>
                <c:pt idx="11">
                  <c:v>39113.041250000002</c:v>
                </c:pt>
                <c:pt idx="12">
                  <c:v>39141.041250000002</c:v>
                </c:pt>
                <c:pt idx="13">
                  <c:v>39171.041250000002</c:v>
                </c:pt>
                <c:pt idx="14">
                  <c:v>39202.041250000002</c:v>
                </c:pt>
                <c:pt idx="15">
                  <c:v>39233.041250000002</c:v>
                </c:pt>
                <c:pt idx="16">
                  <c:v>39262.041250000002</c:v>
                </c:pt>
                <c:pt idx="17">
                  <c:v>39294.041250000002</c:v>
                </c:pt>
                <c:pt idx="18">
                  <c:v>39325.041250000002</c:v>
                </c:pt>
                <c:pt idx="19">
                  <c:v>39353.041250000002</c:v>
                </c:pt>
                <c:pt idx="20">
                  <c:v>39386.041250000002</c:v>
                </c:pt>
                <c:pt idx="21">
                  <c:v>39416.041250000002</c:v>
                </c:pt>
                <c:pt idx="22">
                  <c:v>39447.041250000002</c:v>
                </c:pt>
                <c:pt idx="23">
                  <c:v>39478.041250000002</c:v>
                </c:pt>
                <c:pt idx="24">
                  <c:v>39507.041250000002</c:v>
                </c:pt>
                <c:pt idx="25">
                  <c:v>39538.041250000002</c:v>
                </c:pt>
                <c:pt idx="26">
                  <c:v>39568.041250000002</c:v>
                </c:pt>
                <c:pt idx="27">
                  <c:v>39598.041250000002</c:v>
                </c:pt>
                <c:pt idx="28">
                  <c:v>39629.041250000002</c:v>
                </c:pt>
                <c:pt idx="29">
                  <c:v>39660.041250000002</c:v>
                </c:pt>
                <c:pt idx="30">
                  <c:v>39689.041250000002</c:v>
                </c:pt>
                <c:pt idx="31">
                  <c:v>39721.041250000002</c:v>
                </c:pt>
                <c:pt idx="32">
                  <c:v>39752.041250000002</c:v>
                </c:pt>
                <c:pt idx="33">
                  <c:v>39780.041250000002</c:v>
                </c:pt>
                <c:pt idx="34">
                  <c:v>39813.041250000002</c:v>
                </c:pt>
                <c:pt idx="35">
                  <c:v>39843.041250000002</c:v>
                </c:pt>
                <c:pt idx="36">
                  <c:v>39871.041250000002</c:v>
                </c:pt>
                <c:pt idx="37">
                  <c:v>39903.041250000002</c:v>
                </c:pt>
                <c:pt idx="38">
                  <c:v>39933.041250000002</c:v>
                </c:pt>
                <c:pt idx="39">
                  <c:v>39962.041250000002</c:v>
                </c:pt>
                <c:pt idx="40">
                  <c:v>39994.041250000002</c:v>
                </c:pt>
                <c:pt idx="41">
                  <c:v>40025.041250000002</c:v>
                </c:pt>
                <c:pt idx="42">
                  <c:v>40056.041250000002</c:v>
                </c:pt>
                <c:pt idx="43">
                  <c:v>40086.041250000002</c:v>
                </c:pt>
                <c:pt idx="44">
                  <c:v>40116.041250000002</c:v>
                </c:pt>
                <c:pt idx="45">
                  <c:v>40147.041250000002</c:v>
                </c:pt>
                <c:pt idx="46">
                  <c:v>40178.041250000002</c:v>
                </c:pt>
                <c:pt idx="47">
                  <c:v>40207.041250000002</c:v>
                </c:pt>
                <c:pt idx="48">
                  <c:v>40235.041250000002</c:v>
                </c:pt>
                <c:pt idx="49">
                  <c:v>40268.041250000002</c:v>
                </c:pt>
                <c:pt idx="50">
                  <c:v>40298.041250000002</c:v>
                </c:pt>
                <c:pt idx="51">
                  <c:v>40329.041250000002</c:v>
                </c:pt>
                <c:pt idx="52">
                  <c:v>40359.041250000002</c:v>
                </c:pt>
                <c:pt idx="53">
                  <c:v>40389.041250000002</c:v>
                </c:pt>
                <c:pt idx="54">
                  <c:v>40421.041250000002</c:v>
                </c:pt>
                <c:pt idx="55">
                  <c:v>40451.041250000002</c:v>
                </c:pt>
                <c:pt idx="56">
                  <c:v>40480.041250000002</c:v>
                </c:pt>
                <c:pt idx="57">
                  <c:v>40512.041250000002</c:v>
                </c:pt>
                <c:pt idx="58">
                  <c:v>40543.041250000002</c:v>
                </c:pt>
                <c:pt idx="59">
                  <c:v>40574.041250000002</c:v>
                </c:pt>
                <c:pt idx="60">
                  <c:v>40602.041250000002</c:v>
                </c:pt>
                <c:pt idx="61">
                  <c:v>40633.041250000002</c:v>
                </c:pt>
                <c:pt idx="62">
                  <c:v>40662.041250000002</c:v>
                </c:pt>
                <c:pt idx="63">
                  <c:v>40694.041250000002</c:v>
                </c:pt>
                <c:pt idx="64">
                  <c:v>40724.041250000002</c:v>
                </c:pt>
                <c:pt idx="65">
                  <c:v>40753.041250000002</c:v>
                </c:pt>
                <c:pt idx="66">
                  <c:v>40786.041250000002</c:v>
                </c:pt>
                <c:pt idx="67">
                  <c:v>40816.041250000002</c:v>
                </c:pt>
                <c:pt idx="68">
                  <c:v>40847.041250000002</c:v>
                </c:pt>
                <c:pt idx="69">
                  <c:v>40877.041250000002</c:v>
                </c:pt>
                <c:pt idx="70">
                  <c:v>40907.041250000002</c:v>
                </c:pt>
                <c:pt idx="71">
                  <c:v>40939.041250000002</c:v>
                </c:pt>
                <c:pt idx="72">
                  <c:v>40968.041250000002</c:v>
                </c:pt>
                <c:pt idx="73">
                  <c:v>40998.041250000002</c:v>
                </c:pt>
                <c:pt idx="74">
                  <c:v>41029.041250000002</c:v>
                </c:pt>
                <c:pt idx="75">
                  <c:v>41060.041250000002</c:v>
                </c:pt>
                <c:pt idx="76">
                  <c:v>41089.041250000002</c:v>
                </c:pt>
                <c:pt idx="77">
                  <c:v>41121.041250000002</c:v>
                </c:pt>
                <c:pt idx="78">
                  <c:v>41152.041250000002</c:v>
                </c:pt>
                <c:pt idx="79">
                  <c:v>41180.041250000002</c:v>
                </c:pt>
                <c:pt idx="80">
                  <c:v>41213.041250000002</c:v>
                </c:pt>
                <c:pt idx="81">
                  <c:v>41243.041250000002</c:v>
                </c:pt>
                <c:pt idx="82">
                  <c:v>41274.041250000002</c:v>
                </c:pt>
                <c:pt idx="83">
                  <c:v>41305.041250000002</c:v>
                </c:pt>
                <c:pt idx="84">
                  <c:v>41333.041250000002</c:v>
                </c:pt>
                <c:pt idx="85">
                  <c:v>41360.041250000002</c:v>
                </c:pt>
                <c:pt idx="86">
                  <c:v>41394.041250000002</c:v>
                </c:pt>
                <c:pt idx="87">
                  <c:v>41425.041250000002</c:v>
                </c:pt>
                <c:pt idx="88">
                  <c:v>41453.041250000002</c:v>
                </c:pt>
                <c:pt idx="89">
                  <c:v>41486.041250000002</c:v>
                </c:pt>
                <c:pt idx="90">
                  <c:v>41516.041250000002</c:v>
                </c:pt>
                <c:pt idx="91">
                  <c:v>41547.041250000002</c:v>
                </c:pt>
                <c:pt idx="92">
                  <c:v>41578.041250000002</c:v>
                </c:pt>
                <c:pt idx="93">
                  <c:v>41607.041250000002</c:v>
                </c:pt>
                <c:pt idx="94">
                  <c:v>41639.041250000002</c:v>
                </c:pt>
                <c:pt idx="95">
                  <c:v>41670.041250000002</c:v>
                </c:pt>
                <c:pt idx="96">
                  <c:v>41698.041250000002</c:v>
                </c:pt>
                <c:pt idx="97">
                  <c:v>41729.041250000002</c:v>
                </c:pt>
                <c:pt idx="98">
                  <c:v>41759.041250000002</c:v>
                </c:pt>
                <c:pt idx="99">
                  <c:v>41789.041250000002</c:v>
                </c:pt>
                <c:pt idx="100">
                  <c:v>41820.041250000002</c:v>
                </c:pt>
                <c:pt idx="101">
                  <c:v>41851.041250000002</c:v>
                </c:pt>
                <c:pt idx="102">
                  <c:v>41880.041250000002</c:v>
                </c:pt>
                <c:pt idx="103">
                  <c:v>41912.041250000002</c:v>
                </c:pt>
                <c:pt idx="104">
                  <c:v>41943.041250000002</c:v>
                </c:pt>
                <c:pt idx="105">
                  <c:v>41971.041250000002</c:v>
                </c:pt>
                <c:pt idx="106">
                  <c:v>42004.041250000002</c:v>
                </c:pt>
                <c:pt idx="107">
                  <c:v>42034.041250000002</c:v>
                </c:pt>
                <c:pt idx="108">
                  <c:v>42062.041250000002</c:v>
                </c:pt>
                <c:pt idx="109">
                  <c:v>42094.041250000002</c:v>
                </c:pt>
                <c:pt idx="110">
                  <c:v>42124.041250000002</c:v>
                </c:pt>
                <c:pt idx="111">
                  <c:v>42153.041250000002</c:v>
                </c:pt>
                <c:pt idx="112">
                  <c:v>42185.041250000002</c:v>
                </c:pt>
                <c:pt idx="113">
                  <c:v>42216.041250000002</c:v>
                </c:pt>
                <c:pt idx="114">
                  <c:v>42247.041250000002</c:v>
                </c:pt>
                <c:pt idx="115">
                  <c:v>42277.041250000002</c:v>
                </c:pt>
                <c:pt idx="116">
                  <c:v>42307.041250000002</c:v>
                </c:pt>
                <c:pt idx="117">
                  <c:v>42338.041250000002</c:v>
                </c:pt>
                <c:pt idx="118">
                  <c:v>42369.041250000002</c:v>
                </c:pt>
                <c:pt idx="119">
                  <c:v>42398.041250000002</c:v>
                </c:pt>
                <c:pt idx="120">
                  <c:v>42429.041250000002</c:v>
                </c:pt>
                <c:pt idx="121">
                  <c:v>42460.041250000002</c:v>
                </c:pt>
                <c:pt idx="122">
                  <c:v>42489.041250000002</c:v>
                </c:pt>
                <c:pt idx="123">
                  <c:v>42521.041250000002</c:v>
                </c:pt>
                <c:pt idx="124">
                  <c:v>42551.041250000002</c:v>
                </c:pt>
                <c:pt idx="125">
                  <c:v>42580.041250000002</c:v>
                </c:pt>
                <c:pt idx="126">
                  <c:v>42613.041250000002</c:v>
                </c:pt>
                <c:pt idx="127">
                  <c:v>42643.041250000002</c:v>
                </c:pt>
                <c:pt idx="128">
                  <c:v>42674.041250000002</c:v>
                </c:pt>
                <c:pt idx="129">
                  <c:v>42704.041250000002</c:v>
                </c:pt>
                <c:pt idx="130">
                  <c:v>42734.041250000002</c:v>
                </c:pt>
                <c:pt idx="131">
                  <c:v>42766.041250000002</c:v>
                </c:pt>
                <c:pt idx="132">
                  <c:v>42794.041250000002</c:v>
                </c:pt>
                <c:pt idx="133">
                  <c:v>42825.041250000002</c:v>
                </c:pt>
                <c:pt idx="134">
                  <c:v>42853.041250000002</c:v>
                </c:pt>
                <c:pt idx="135">
                  <c:v>42886.041250000002</c:v>
                </c:pt>
                <c:pt idx="136">
                  <c:v>42916.041250000002</c:v>
                </c:pt>
                <c:pt idx="137">
                  <c:v>42947.041250000002</c:v>
                </c:pt>
                <c:pt idx="138">
                  <c:v>42978.041250000002</c:v>
                </c:pt>
                <c:pt idx="139">
                  <c:v>43007.041250000002</c:v>
                </c:pt>
                <c:pt idx="140">
                  <c:v>43039.041250000002</c:v>
                </c:pt>
                <c:pt idx="141">
                  <c:v>43069.041250000002</c:v>
                </c:pt>
                <c:pt idx="142">
                  <c:v>43098.041250000002</c:v>
                </c:pt>
                <c:pt idx="143">
                  <c:v>43131.041250000002</c:v>
                </c:pt>
                <c:pt idx="144">
                  <c:v>43159.041250000002</c:v>
                </c:pt>
                <c:pt idx="145">
                  <c:v>43187.041250000002</c:v>
                </c:pt>
                <c:pt idx="146">
                  <c:v>43220.041250000002</c:v>
                </c:pt>
                <c:pt idx="147">
                  <c:v>43251.041250000002</c:v>
                </c:pt>
                <c:pt idx="148">
                  <c:v>43280.041250000002</c:v>
                </c:pt>
                <c:pt idx="149">
                  <c:v>43312.041250000002</c:v>
                </c:pt>
                <c:pt idx="150">
                  <c:v>43343.041250000002</c:v>
                </c:pt>
                <c:pt idx="151">
                  <c:v>43371.041250000002</c:v>
                </c:pt>
                <c:pt idx="152">
                  <c:v>43404.041250000002</c:v>
                </c:pt>
                <c:pt idx="153">
                  <c:v>43434.041250000002</c:v>
                </c:pt>
                <c:pt idx="154">
                  <c:v>43465.041250000002</c:v>
                </c:pt>
                <c:pt idx="155">
                  <c:v>43496.041250000002</c:v>
                </c:pt>
                <c:pt idx="156">
                  <c:v>43524.041250000002</c:v>
                </c:pt>
                <c:pt idx="157">
                  <c:v>43553.041250000002</c:v>
                </c:pt>
                <c:pt idx="158">
                  <c:v>43585.041250000002</c:v>
                </c:pt>
                <c:pt idx="159">
                  <c:v>43616.041250000002</c:v>
                </c:pt>
                <c:pt idx="160">
                  <c:v>43644.041250000002</c:v>
                </c:pt>
                <c:pt idx="161">
                  <c:v>43677.041250000002</c:v>
                </c:pt>
                <c:pt idx="162">
                  <c:v>43707.041250000002</c:v>
                </c:pt>
                <c:pt idx="163">
                  <c:v>43738.041250000002</c:v>
                </c:pt>
                <c:pt idx="164">
                  <c:v>43769.041250000002</c:v>
                </c:pt>
                <c:pt idx="165">
                  <c:v>43798.041250000002</c:v>
                </c:pt>
                <c:pt idx="166">
                  <c:v>43830.041250000002</c:v>
                </c:pt>
                <c:pt idx="167">
                  <c:v>43861.041250000002</c:v>
                </c:pt>
                <c:pt idx="168">
                  <c:v>43889.041250000002</c:v>
                </c:pt>
                <c:pt idx="169">
                  <c:v>43921.041250000002</c:v>
                </c:pt>
                <c:pt idx="170">
                  <c:v>43951.041250000002</c:v>
                </c:pt>
                <c:pt idx="171">
                  <c:v>43980.041250000002</c:v>
                </c:pt>
                <c:pt idx="172">
                  <c:v>44012.041250000002</c:v>
                </c:pt>
                <c:pt idx="173">
                  <c:v>44043.041250000002</c:v>
                </c:pt>
                <c:pt idx="174">
                  <c:v>44074.041250000002</c:v>
                </c:pt>
                <c:pt idx="175">
                  <c:v>44104.041250000002</c:v>
                </c:pt>
                <c:pt idx="176">
                  <c:v>44134.041250000002</c:v>
                </c:pt>
                <c:pt idx="177">
                  <c:v>44165.041250000002</c:v>
                </c:pt>
                <c:pt idx="178">
                  <c:v>44196.041250000002</c:v>
                </c:pt>
                <c:pt idx="179">
                  <c:v>44225.041250000002</c:v>
                </c:pt>
                <c:pt idx="180">
                  <c:v>44253.041250000002</c:v>
                </c:pt>
                <c:pt idx="181">
                  <c:v>44286.041250000002</c:v>
                </c:pt>
                <c:pt idx="182">
                  <c:v>44316.041250000002</c:v>
                </c:pt>
                <c:pt idx="183">
                  <c:v>44347.041250000002</c:v>
                </c:pt>
                <c:pt idx="184">
                  <c:v>44377.041250000002</c:v>
                </c:pt>
                <c:pt idx="185">
                  <c:v>44407.041250000002</c:v>
                </c:pt>
                <c:pt idx="186">
                  <c:v>44439.041250000002</c:v>
                </c:pt>
                <c:pt idx="187">
                  <c:v>44469.041250000002</c:v>
                </c:pt>
                <c:pt idx="188">
                  <c:v>44498.041250000002</c:v>
                </c:pt>
                <c:pt idx="189">
                  <c:v>44530.041250000002</c:v>
                </c:pt>
                <c:pt idx="190">
                  <c:v>44561.041250000002</c:v>
                </c:pt>
                <c:pt idx="191">
                  <c:v>44592.041250000002</c:v>
                </c:pt>
                <c:pt idx="192">
                  <c:v>44620.041250000002</c:v>
                </c:pt>
                <c:pt idx="193">
                  <c:v>44651.041250000002</c:v>
                </c:pt>
                <c:pt idx="194">
                  <c:v>44680.041250000002</c:v>
                </c:pt>
                <c:pt idx="195">
                  <c:v>44712.041250000002</c:v>
                </c:pt>
                <c:pt idx="196">
                  <c:v>44742.041250000002</c:v>
                </c:pt>
                <c:pt idx="197">
                  <c:v>44771.041250000002</c:v>
                </c:pt>
                <c:pt idx="198">
                  <c:v>44804.041250000002</c:v>
                </c:pt>
                <c:pt idx="199">
                  <c:v>44834.041250000002</c:v>
                </c:pt>
                <c:pt idx="200">
                  <c:v>44865.041250000002</c:v>
                </c:pt>
                <c:pt idx="201">
                  <c:v>44895.041250000002</c:v>
                </c:pt>
                <c:pt idx="202">
                  <c:v>44925.041250000002</c:v>
                </c:pt>
                <c:pt idx="203">
                  <c:v>44957.041250000002</c:v>
                </c:pt>
                <c:pt idx="204">
                  <c:v>44985.041250000002</c:v>
                </c:pt>
                <c:pt idx="205">
                  <c:v>45016.041250000002</c:v>
                </c:pt>
                <c:pt idx="206">
                  <c:v>45044.041250000002</c:v>
                </c:pt>
                <c:pt idx="207">
                  <c:v>45077.041250000002</c:v>
                </c:pt>
                <c:pt idx="208">
                  <c:v>45107.041250000002</c:v>
                </c:pt>
                <c:pt idx="209">
                  <c:v>45138.041250000002</c:v>
                </c:pt>
                <c:pt idx="210">
                  <c:v>45169.041250000002</c:v>
                </c:pt>
                <c:pt idx="211">
                  <c:v>45198.041250000002</c:v>
                </c:pt>
                <c:pt idx="212">
                  <c:v>45230.041250000002</c:v>
                </c:pt>
                <c:pt idx="213">
                  <c:v>45260.041250000002</c:v>
                </c:pt>
                <c:pt idx="214">
                  <c:v>45289.041250000002</c:v>
                </c:pt>
                <c:pt idx="215">
                  <c:v>45322.041250000002</c:v>
                </c:pt>
                <c:pt idx="216">
                  <c:v>45351.041250000002</c:v>
                </c:pt>
                <c:pt idx="217">
                  <c:v>45378.041250000002</c:v>
                </c:pt>
                <c:pt idx="218">
                  <c:v>45412.041250000002</c:v>
                </c:pt>
                <c:pt idx="219">
                  <c:v>45443.041250000002</c:v>
                </c:pt>
                <c:pt idx="220">
                  <c:v>45471.041250000002</c:v>
                </c:pt>
                <c:pt idx="221">
                  <c:v>45504.041250000002</c:v>
                </c:pt>
                <c:pt idx="222">
                  <c:v>45534.041250000002</c:v>
                </c:pt>
                <c:pt idx="223">
                  <c:v>45565.041250000002</c:v>
                </c:pt>
                <c:pt idx="224">
                  <c:v>45596.041250000002</c:v>
                </c:pt>
                <c:pt idx="225">
                  <c:v>45625.041250000002</c:v>
                </c:pt>
                <c:pt idx="226">
                  <c:v>45657.041250000002</c:v>
                </c:pt>
                <c:pt idx="227">
                  <c:v>45688.041250000002</c:v>
                </c:pt>
                <c:pt idx="228">
                  <c:v>45716.041250000002</c:v>
                </c:pt>
                <c:pt idx="229">
                  <c:v>45747.041250000002</c:v>
                </c:pt>
                <c:pt idx="230">
                  <c:v>45777.041250000002</c:v>
                </c:pt>
                <c:pt idx="231">
                  <c:v>45807.041250000002</c:v>
                </c:pt>
                <c:pt idx="232">
                  <c:v>45838.041250000002</c:v>
                </c:pt>
                <c:pt idx="233">
                  <c:v>45869.041250000002</c:v>
                </c:pt>
                <c:pt idx="234">
                  <c:v>45898.041250000002</c:v>
                </c:pt>
                <c:pt idx="235">
                  <c:v>45930.041250000002</c:v>
                </c:pt>
                <c:pt idx="236">
                  <c:v>45961.041250000002</c:v>
                </c:pt>
                <c:pt idx="237">
                  <c:v>45989.041250000002</c:v>
                </c:pt>
                <c:pt idx="238">
                  <c:v>46022.041250000002</c:v>
                </c:pt>
                <c:pt idx="239">
                  <c:v>46052.041250000002</c:v>
                </c:pt>
                <c:pt idx="240">
                  <c:v>46080.041250000002</c:v>
                </c:pt>
                <c:pt idx="241">
                  <c:v>46112.041250000002</c:v>
                </c:pt>
                <c:pt idx="242">
                  <c:v>46142.041250000002</c:v>
                </c:pt>
                <c:pt idx="243">
                  <c:v>46171.041250000002</c:v>
                </c:pt>
                <c:pt idx="244">
                  <c:v>46203.041250000002</c:v>
                </c:pt>
                <c:pt idx="245">
                  <c:v>46209.041250000002</c:v>
                </c:pt>
              </c:numCache>
            </c:numRef>
          </c:cat>
          <c:val>
            <c:numRef>
              <c:f>report!$F$2:$F$247</c:f>
              <c:numCache>
                <c:formatCode>##,##0.00###########</c:formatCode>
                <c:ptCount val="246"/>
                <c:pt idx="0">
                  <c:v>18.333333</c:v>
                </c:pt>
                <c:pt idx="1">
                  <c:v>15.666667</c:v>
                </c:pt>
                <c:pt idx="2">
                  <c:v>17.003333000000001</c:v>
                </c:pt>
                <c:pt idx="3">
                  <c:v>17.05</c:v>
                </c:pt>
                <c:pt idx="4">
                  <c:v>20.3</c:v>
                </c:pt>
                <c:pt idx="5">
                  <c:v>21.366667</c:v>
                </c:pt>
                <c:pt idx="6">
                  <c:v>24.08</c:v>
                </c:pt>
                <c:pt idx="7">
                  <c:v>23.333333</c:v>
                </c:pt>
                <c:pt idx="8">
                  <c:v>21.666667</c:v>
                </c:pt>
                <c:pt idx="9">
                  <c:v>24.3</c:v>
                </c:pt>
                <c:pt idx="10">
                  <c:v>28.333333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30.666667</c:v>
                </c:pt>
                <c:pt idx="15">
                  <c:v>31.316666999999999</c:v>
                </c:pt>
                <c:pt idx="16">
                  <c:v>31.666667</c:v>
                </c:pt>
                <c:pt idx="17">
                  <c:v>33.333333000000003</c:v>
                </c:pt>
                <c:pt idx="18">
                  <c:v>32.833333000000003</c:v>
                </c:pt>
                <c:pt idx="19">
                  <c:v>32.666666999999997</c:v>
                </c:pt>
                <c:pt idx="20">
                  <c:v>33.333333000000003</c:v>
                </c:pt>
                <c:pt idx="21">
                  <c:v>37.333333000000003</c:v>
                </c:pt>
                <c:pt idx="22">
                  <c:v>42.333333000000003</c:v>
                </c:pt>
                <c:pt idx="23">
                  <c:v>40.666666999999997</c:v>
                </c:pt>
                <c:pt idx="24">
                  <c:v>40.916666999999997</c:v>
                </c:pt>
                <c:pt idx="25">
                  <c:v>41.68</c:v>
                </c:pt>
                <c:pt idx="26">
                  <c:v>40.9</c:v>
                </c:pt>
                <c:pt idx="27">
                  <c:v>37.9</c:v>
                </c:pt>
                <c:pt idx="28">
                  <c:v>37.799999999999997</c:v>
                </c:pt>
                <c:pt idx="29">
                  <c:v>37.799999999999997</c:v>
                </c:pt>
                <c:pt idx="30">
                  <c:v>31.79</c:v>
                </c:pt>
                <c:pt idx="31">
                  <c:v>37</c:v>
                </c:pt>
                <c:pt idx="32">
                  <c:v>33</c:v>
                </c:pt>
                <c:pt idx="33">
                  <c:v>41.95</c:v>
                </c:pt>
                <c:pt idx="34">
                  <c:v>41.94</c:v>
                </c:pt>
                <c:pt idx="35">
                  <c:v>44.99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44</c:v>
                </c:pt>
                <c:pt idx="40">
                  <c:v>42</c:v>
                </c:pt>
                <c:pt idx="41">
                  <c:v>42</c:v>
                </c:pt>
                <c:pt idx="42">
                  <c:v>34.99</c:v>
                </c:pt>
                <c:pt idx="43">
                  <c:v>34</c:v>
                </c:pt>
                <c:pt idx="44">
                  <c:v>30.5</c:v>
                </c:pt>
                <c:pt idx="45">
                  <c:v>32</c:v>
                </c:pt>
                <c:pt idx="46">
                  <c:v>35.6</c:v>
                </c:pt>
                <c:pt idx="47">
                  <c:v>37</c:v>
                </c:pt>
                <c:pt idx="48">
                  <c:v>40</c:v>
                </c:pt>
                <c:pt idx="49">
                  <c:v>38.6</c:v>
                </c:pt>
                <c:pt idx="50">
                  <c:v>54.49</c:v>
                </c:pt>
                <c:pt idx="51">
                  <c:v>57</c:v>
                </c:pt>
                <c:pt idx="52">
                  <c:v>55</c:v>
                </c:pt>
                <c:pt idx="53">
                  <c:v>49.9</c:v>
                </c:pt>
                <c:pt idx="54">
                  <c:v>48.46</c:v>
                </c:pt>
                <c:pt idx="55">
                  <c:v>48.5</c:v>
                </c:pt>
                <c:pt idx="56">
                  <c:v>51</c:v>
                </c:pt>
                <c:pt idx="57">
                  <c:v>45.05</c:v>
                </c:pt>
                <c:pt idx="58">
                  <c:v>49.97</c:v>
                </c:pt>
                <c:pt idx="59">
                  <c:v>49.95</c:v>
                </c:pt>
                <c:pt idx="60">
                  <c:v>51.49</c:v>
                </c:pt>
                <c:pt idx="61">
                  <c:v>50.5</c:v>
                </c:pt>
                <c:pt idx="62">
                  <c:v>51</c:v>
                </c:pt>
                <c:pt idx="63">
                  <c:v>54.33</c:v>
                </c:pt>
                <c:pt idx="64">
                  <c:v>57.98</c:v>
                </c:pt>
                <c:pt idx="65">
                  <c:v>52</c:v>
                </c:pt>
                <c:pt idx="66">
                  <c:v>50.01</c:v>
                </c:pt>
                <c:pt idx="67">
                  <c:v>51.5</c:v>
                </c:pt>
                <c:pt idx="68">
                  <c:v>54.99</c:v>
                </c:pt>
                <c:pt idx="69">
                  <c:v>56</c:v>
                </c:pt>
                <c:pt idx="70">
                  <c:v>58</c:v>
                </c:pt>
                <c:pt idx="71">
                  <c:v>64</c:v>
                </c:pt>
                <c:pt idx="72">
                  <c:v>67.010000000000005</c:v>
                </c:pt>
                <c:pt idx="73">
                  <c:v>71</c:v>
                </c:pt>
                <c:pt idx="74">
                  <c:v>79</c:v>
                </c:pt>
                <c:pt idx="75">
                  <c:v>79</c:v>
                </c:pt>
                <c:pt idx="76">
                  <c:v>78.05</c:v>
                </c:pt>
                <c:pt idx="77">
                  <c:v>75</c:v>
                </c:pt>
                <c:pt idx="78">
                  <c:v>76</c:v>
                </c:pt>
                <c:pt idx="79">
                  <c:v>80.5</c:v>
                </c:pt>
                <c:pt idx="80">
                  <c:v>90</c:v>
                </c:pt>
                <c:pt idx="81">
                  <c:v>92.77</c:v>
                </c:pt>
                <c:pt idx="82">
                  <c:v>97</c:v>
                </c:pt>
                <c:pt idx="83">
                  <c:v>93.5</c:v>
                </c:pt>
                <c:pt idx="84">
                  <c:v>91.5</c:v>
                </c:pt>
                <c:pt idx="85">
                  <c:v>91.49</c:v>
                </c:pt>
                <c:pt idx="86">
                  <c:v>91</c:v>
                </c:pt>
                <c:pt idx="87">
                  <c:v>95.6</c:v>
                </c:pt>
                <c:pt idx="88">
                  <c:v>99</c:v>
                </c:pt>
                <c:pt idx="89">
                  <c:v>117</c:v>
                </c:pt>
                <c:pt idx="90">
                  <c:v>120</c:v>
                </c:pt>
                <c:pt idx="91">
                  <c:v>117</c:v>
                </c:pt>
                <c:pt idx="92">
                  <c:v>118</c:v>
                </c:pt>
                <c:pt idx="93">
                  <c:v>114</c:v>
                </c:pt>
                <c:pt idx="94">
                  <c:v>115.23</c:v>
                </c:pt>
                <c:pt idx="95">
                  <c:v>113</c:v>
                </c:pt>
                <c:pt idx="96">
                  <c:v>110</c:v>
                </c:pt>
                <c:pt idx="97">
                  <c:v>114</c:v>
                </c:pt>
                <c:pt idx="98">
                  <c:v>106</c:v>
                </c:pt>
                <c:pt idx="99">
                  <c:v>104</c:v>
                </c:pt>
                <c:pt idx="100">
                  <c:v>106</c:v>
                </c:pt>
                <c:pt idx="101">
                  <c:v>103</c:v>
                </c:pt>
                <c:pt idx="102">
                  <c:v>106.48</c:v>
                </c:pt>
                <c:pt idx="103">
                  <c:v>106</c:v>
                </c:pt>
                <c:pt idx="104">
                  <c:v>105.99</c:v>
                </c:pt>
                <c:pt idx="105">
                  <c:v>106</c:v>
                </c:pt>
                <c:pt idx="106">
                  <c:v>104</c:v>
                </c:pt>
                <c:pt idx="107">
                  <c:v>116</c:v>
                </c:pt>
                <c:pt idx="108">
                  <c:v>114.95</c:v>
                </c:pt>
                <c:pt idx="109">
                  <c:v>112</c:v>
                </c:pt>
                <c:pt idx="110">
                  <c:v>115</c:v>
                </c:pt>
                <c:pt idx="111">
                  <c:v>125</c:v>
                </c:pt>
                <c:pt idx="112">
                  <c:v>122.5</c:v>
                </c:pt>
                <c:pt idx="113">
                  <c:v>125</c:v>
                </c:pt>
                <c:pt idx="114">
                  <c:v>128.99</c:v>
                </c:pt>
                <c:pt idx="115">
                  <c:v>131.49</c:v>
                </c:pt>
                <c:pt idx="116">
                  <c:v>137</c:v>
                </c:pt>
                <c:pt idx="117">
                  <c:v>141</c:v>
                </c:pt>
                <c:pt idx="118">
                  <c:v>139.41</c:v>
                </c:pt>
                <c:pt idx="119">
                  <c:v>137.43</c:v>
                </c:pt>
                <c:pt idx="120">
                  <c:v>138</c:v>
                </c:pt>
                <c:pt idx="121">
                  <c:v>136.5</c:v>
                </c:pt>
                <c:pt idx="122">
                  <c:v>152</c:v>
                </c:pt>
                <c:pt idx="123">
                  <c:v>154</c:v>
                </c:pt>
                <c:pt idx="124">
                  <c:v>145.80000000000001</c:v>
                </c:pt>
                <c:pt idx="125">
                  <c:v>148.5</c:v>
                </c:pt>
                <c:pt idx="126">
                  <c:v>148.16999999999999</c:v>
                </c:pt>
                <c:pt idx="127">
                  <c:v>147</c:v>
                </c:pt>
                <c:pt idx="128">
                  <c:v>147</c:v>
                </c:pt>
                <c:pt idx="129">
                  <c:v>148</c:v>
                </c:pt>
                <c:pt idx="130">
                  <c:v>147</c:v>
                </c:pt>
                <c:pt idx="131">
                  <c:v>147</c:v>
                </c:pt>
                <c:pt idx="132">
                  <c:v>147</c:v>
                </c:pt>
                <c:pt idx="133">
                  <c:v>147</c:v>
                </c:pt>
                <c:pt idx="134">
                  <c:v>147</c:v>
                </c:pt>
                <c:pt idx="135">
                  <c:v>155</c:v>
                </c:pt>
                <c:pt idx="136">
                  <c:v>149.94999999999999</c:v>
                </c:pt>
                <c:pt idx="137">
                  <c:v>140</c:v>
                </c:pt>
                <c:pt idx="138">
                  <c:v>137</c:v>
                </c:pt>
                <c:pt idx="139">
                  <c:v>142.5</c:v>
                </c:pt>
                <c:pt idx="140">
                  <c:v>146.78</c:v>
                </c:pt>
                <c:pt idx="141">
                  <c:v>146.38999999999999</c:v>
                </c:pt>
                <c:pt idx="142">
                  <c:v>144.4</c:v>
                </c:pt>
                <c:pt idx="143">
                  <c:v>155</c:v>
                </c:pt>
                <c:pt idx="144">
                  <c:v>150.5</c:v>
                </c:pt>
                <c:pt idx="145">
                  <c:v>149.49</c:v>
                </c:pt>
                <c:pt idx="146">
                  <c:v>147.27000000000001</c:v>
                </c:pt>
                <c:pt idx="147">
                  <c:v>145</c:v>
                </c:pt>
                <c:pt idx="148">
                  <c:v>152</c:v>
                </c:pt>
                <c:pt idx="149">
                  <c:v>156.9</c:v>
                </c:pt>
                <c:pt idx="150">
                  <c:v>148</c:v>
                </c:pt>
                <c:pt idx="151">
                  <c:v>146.86000000000001</c:v>
                </c:pt>
                <c:pt idx="152">
                  <c:v>149</c:v>
                </c:pt>
                <c:pt idx="153">
                  <c:v>154</c:v>
                </c:pt>
                <c:pt idx="154">
                  <c:v>149.01</c:v>
                </c:pt>
                <c:pt idx="155">
                  <c:v>144</c:v>
                </c:pt>
                <c:pt idx="156">
                  <c:v>144</c:v>
                </c:pt>
                <c:pt idx="157">
                  <c:v>149</c:v>
                </c:pt>
                <c:pt idx="158">
                  <c:v>147</c:v>
                </c:pt>
                <c:pt idx="159">
                  <c:v>147</c:v>
                </c:pt>
                <c:pt idx="160">
                  <c:v>142</c:v>
                </c:pt>
                <c:pt idx="161">
                  <c:v>144</c:v>
                </c:pt>
                <c:pt idx="162">
                  <c:v>144.9</c:v>
                </c:pt>
                <c:pt idx="163">
                  <c:v>145.49</c:v>
                </c:pt>
                <c:pt idx="164">
                  <c:v>140</c:v>
                </c:pt>
                <c:pt idx="165">
                  <c:v>139.9</c:v>
                </c:pt>
                <c:pt idx="166">
                  <c:v>141.5</c:v>
                </c:pt>
                <c:pt idx="167">
                  <c:v>153</c:v>
                </c:pt>
                <c:pt idx="168">
                  <c:v>154</c:v>
                </c:pt>
                <c:pt idx="169">
                  <c:v>150</c:v>
                </c:pt>
                <c:pt idx="170">
                  <c:v>144.06</c:v>
                </c:pt>
                <c:pt idx="171">
                  <c:v>145</c:v>
                </c:pt>
                <c:pt idx="172">
                  <c:v>140</c:v>
                </c:pt>
                <c:pt idx="173">
                  <c:v>132.69999999999999</c:v>
                </c:pt>
                <c:pt idx="174">
                  <c:v>122.52</c:v>
                </c:pt>
                <c:pt idx="175">
                  <c:v>91</c:v>
                </c:pt>
                <c:pt idx="176">
                  <c:v>89</c:v>
                </c:pt>
                <c:pt idx="177">
                  <c:v>84.49</c:v>
                </c:pt>
                <c:pt idx="178">
                  <c:v>101.99</c:v>
                </c:pt>
                <c:pt idx="179">
                  <c:v>123</c:v>
                </c:pt>
                <c:pt idx="180">
                  <c:v>108</c:v>
                </c:pt>
                <c:pt idx="181">
                  <c:v>108</c:v>
                </c:pt>
                <c:pt idx="182">
                  <c:v>120</c:v>
                </c:pt>
                <c:pt idx="183">
                  <c:v>121</c:v>
                </c:pt>
                <c:pt idx="184">
                  <c:v>128</c:v>
                </c:pt>
                <c:pt idx="185">
                  <c:v>126.6</c:v>
                </c:pt>
                <c:pt idx="186">
                  <c:v>126.01</c:v>
                </c:pt>
                <c:pt idx="187">
                  <c:v>133</c:v>
                </c:pt>
                <c:pt idx="188">
                  <c:v>134.18</c:v>
                </c:pt>
                <c:pt idx="189">
                  <c:v>140</c:v>
                </c:pt>
                <c:pt idx="190">
                  <c:v>129.88</c:v>
                </c:pt>
                <c:pt idx="191">
                  <c:v>129</c:v>
                </c:pt>
                <c:pt idx="192">
                  <c:v>124.7</c:v>
                </c:pt>
                <c:pt idx="193">
                  <c:v>123.85</c:v>
                </c:pt>
                <c:pt idx="194">
                  <c:v>129</c:v>
                </c:pt>
                <c:pt idx="195">
                  <c:v>129</c:v>
                </c:pt>
                <c:pt idx="196">
                  <c:v>119.48</c:v>
                </c:pt>
                <c:pt idx="197">
                  <c:v>115.69</c:v>
                </c:pt>
                <c:pt idx="198">
                  <c:v>109.16</c:v>
                </c:pt>
                <c:pt idx="199">
                  <c:v>111</c:v>
                </c:pt>
                <c:pt idx="200">
                  <c:v>109.7</c:v>
                </c:pt>
                <c:pt idx="201">
                  <c:v>118.85</c:v>
                </c:pt>
                <c:pt idx="202">
                  <c:v>118</c:v>
                </c:pt>
                <c:pt idx="203">
                  <c:v>120.9</c:v>
                </c:pt>
                <c:pt idx="204">
                  <c:v>125</c:v>
                </c:pt>
                <c:pt idx="205">
                  <c:v>131.5</c:v>
                </c:pt>
                <c:pt idx="206">
                  <c:v>131.38999999999999</c:v>
                </c:pt>
                <c:pt idx="207">
                  <c:v>135</c:v>
                </c:pt>
                <c:pt idx="208">
                  <c:v>137</c:v>
                </c:pt>
                <c:pt idx="209">
                  <c:v>150</c:v>
                </c:pt>
                <c:pt idx="210">
                  <c:v>147.5</c:v>
                </c:pt>
                <c:pt idx="211">
                  <c:v>150</c:v>
                </c:pt>
                <c:pt idx="212">
                  <c:v>154</c:v>
                </c:pt>
                <c:pt idx="213">
                  <c:v>165</c:v>
                </c:pt>
                <c:pt idx="214">
                  <c:v>171.63</c:v>
                </c:pt>
                <c:pt idx="215">
                  <c:v>171.63</c:v>
                </c:pt>
                <c:pt idx="216">
                  <c:v>163.4</c:v>
                </c:pt>
                <c:pt idx="217">
                  <c:v>163.4</c:v>
                </c:pt>
                <c:pt idx="218">
                  <c:v>155</c:v>
                </c:pt>
                <c:pt idx="219">
                  <c:v>152</c:v>
                </c:pt>
                <c:pt idx="220">
                  <c:v>152</c:v>
                </c:pt>
                <c:pt idx="221">
                  <c:v>152</c:v>
                </c:pt>
                <c:pt idx="222">
                  <c:v>152</c:v>
                </c:pt>
                <c:pt idx="223">
                  <c:v>152</c:v>
                </c:pt>
                <c:pt idx="224">
                  <c:v>149.99</c:v>
                </c:pt>
                <c:pt idx="225">
                  <c:v>150</c:v>
                </c:pt>
                <c:pt idx="226">
                  <c:v>150</c:v>
                </c:pt>
                <c:pt idx="227">
                  <c:v>145.9</c:v>
                </c:pt>
                <c:pt idx="228">
                  <c:v>148</c:v>
                </c:pt>
                <c:pt idx="229">
                  <c:v>155</c:v>
                </c:pt>
                <c:pt idx="230">
                  <c:v>160</c:v>
                </c:pt>
                <c:pt idx="231">
                  <c:v>161</c:v>
                </c:pt>
                <c:pt idx="232">
                  <c:v>160.6</c:v>
                </c:pt>
                <c:pt idx="233">
                  <c:v>144.1</c:v>
                </c:pt>
                <c:pt idx="234">
                  <c:v>145</c:v>
                </c:pt>
                <c:pt idx="235">
                  <c:v>150</c:v>
                </c:pt>
                <c:pt idx="236">
                  <c:v>152</c:v>
                </c:pt>
                <c:pt idx="237">
                  <c:v>148.5</c:v>
                </c:pt>
                <c:pt idx="238">
                  <c:v>150.5</c:v>
                </c:pt>
                <c:pt idx="239">
                  <c:v>158.25</c:v>
                </c:pt>
                <c:pt idx="240">
                  <c:v>159</c:v>
                </c:pt>
                <c:pt idx="241">
                  <c:v>160</c:v>
                </c:pt>
                <c:pt idx="242">
                  <c:v>162</c:v>
                </c:pt>
                <c:pt idx="243">
                  <c:v>166</c:v>
                </c:pt>
                <c:pt idx="244">
                  <c:v>166</c:v>
                </c:pt>
                <c:pt idx="245">
                  <c:v>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86-44D3-B26D-7AAE4440F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976496"/>
        <c:axId val="1929231248"/>
      </c:lineChart>
      <c:dateAx>
        <c:axId val="64976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9231248"/>
        <c:crosses val="autoZero"/>
        <c:auto val="0"/>
        <c:lblOffset val="100"/>
        <c:baseTimeUnit val="months"/>
        <c:majorUnit val="2"/>
        <c:majorTimeUnit val="years"/>
      </c:dateAx>
      <c:valAx>
        <c:axId val="192923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Precio (MXN)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97649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GRUPO AEROPORTUARIO — Precio de cierre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report!$H$1</c:f>
              <c:strCache>
                <c:ptCount val="1"/>
                <c:pt idx="0">
                  <c:v>GRUPO AEROPORTUARIO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report!$A$2:$A$247</c:f>
              <c:numCache>
                <c:formatCode>m/d/yyyy</c:formatCode>
                <c:ptCount val="246"/>
                <c:pt idx="0">
                  <c:v>38776.041250000002</c:v>
                </c:pt>
                <c:pt idx="1">
                  <c:v>38807.041250000002</c:v>
                </c:pt>
                <c:pt idx="2">
                  <c:v>38835.041250000002</c:v>
                </c:pt>
                <c:pt idx="3">
                  <c:v>38868.041250000002</c:v>
                </c:pt>
                <c:pt idx="4">
                  <c:v>38898.041250000002</c:v>
                </c:pt>
                <c:pt idx="5">
                  <c:v>38929.041250000002</c:v>
                </c:pt>
                <c:pt idx="6">
                  <c:v>38960.041250000002</c:v>
                </c:pt>
                <c:pt idx="7">
                  <c:v>38989.041250000002</c:v>
                </c:pt>
                <c:pt idx="8">
                  <c:v>39021.041250000002</c:v>
                </c:pt>
                <c:pt idx="9">
                  <c:v>39051.041250000002</c:v>
                </c:pt>
                <c:pt idx="10">
                  <c:v>39080.041250000002</c:v>
                </c:pt>
                <c:pt idx="11">
                  <c:v>39113.041250000002</c:v>
                </c:pt>
                <c:pt idx="12">
                  <c:v>39141.041250000002</c:v>
                </c:pt>
                <c:pt idx="13">
                  <c:v>39171.041250000002</c:v>
                </c:pt>
                <c:pt idx="14">
                  <c:v>39202.041250000002</c:v>
                </c:pt>
                <c:pt idx="15">
                  <c:v>39233.041250000002</c:v>
                </c:pt>
                <c:pt idx="16">
                  <c:v>39262.041250000002</c:v>
                </c:pt>
                <c:pt idx="17">
                  <c:v>39294.041250000002</c:v>
                </c:pt>
                <c:pt idx="18">
                  <c:v>39325.041250000002</c:v>
                </c:pt>
                <c:pt idx="19">
                  <c:v>39353.041250000002</c:v>
                </c:pt>
                <c:pt idx="20">
                  <c:v>39386.041250000002</c:v>
                </c:pt>
                <c:pt idx="21">
                  <c:v>39416.041250000002</c:v>
                </c:pt>
                <c:pt idx="22">
                  <c:v>39447.041250000002</c:v>
                </c:pt>
                <c:pt idx="23">
                  <c:v>39478.041250000002</c:v>
                </c:pt>
                <c:pt idx="24">
                  <c:v>39507.041250000002</c:v>
                </c:pt>
                <c:pt idx="25">
                  <c:v>39538.041250000002</c:v>
                </c:pt>
                <c:pt idx="26">
                  <c:v>39568.041250000002</c:v>
                </c:pt>
                <c:pt idx="27">
                  <c:v>39598.041250000002</c:v>
                </c:pt>
                <c:pt idx="28">
                  <c:v>39629.041250000002</c:v>
                </c:pt>
                <c:pt idx="29">
                  <c:v>39660.041250000002</c:v>
                </c:pt>
                <c:pt idx="30">
                  <c:v>39689.041250000002</c:v>
                </c:pt>
                <c:pt idx="31">
                  <c:v>39721.041250000002</c:v>
                </c:pt>
                <c:pt idx="32">
                  <c:v>39752.041250000002</c:v>
                </c:pt>
                <c:pt idx="33">
                  <c:v>39780.041250000002</c:v>
                </c:pt>
                <c:pt idx="34">
                  <c:v>39813.041250000002</c:v>
                </c:pt>
                <c:pt idx="35">
                  <c:v>39843.041250000002</c:v>
                </c:pt>
                <c:pt idx="36">
                  <c:v>39871.041250000002</c:v>
                </c:pt>
                <c:pt idx="37">
                  <c:v>39903.041250000002</c:v>
                </c:pt>
                <c:pt idx="38">
                  <c:v>39933.041250000002</c:v>
                </c:pt>
                <c:pt idx="39">
                  <c:v>39962.041250000002</c:v>
                </c:pt>
                <c:pt idx="40">
                  <c:v>39994.041250000002</c:v>
                </c:pt>
                <c:pt idx="41">
                  <c:v>40025.041250000002</c:v>
                </c:pt>
                <c:pt idx="42">
                  <c:v>40056.041250000002</c:v>
                </c:pt>
                <c:pt idx="43">
                  <c:v>40086.041250000002</c:v>
                </c:pt>
                <c:pt idx="44">
                  <c:v>40116.041250000002</c:v>
                </c:pt>
                <c:pt idx="45">
                  <c:v>40147.041250000002</c:v>
                </c:pt>
                <c:pt idx="46">
                  <c:v>40178.041250000002</c:v>
                </c:pt>
                <c:pt idx="47">
                  <c:v>40207.041250000002</c:v>
                </c:pt>
                <c:pt idx="48">
                  <c:v>40235.041250000002</c:v>
                </c:pt>
                <c:pt idx="49">
                  <c:v>40268.041250000002</c:v>
                </c:pt>
                <c:pt idx="50">
                  <c:v>40298.041250000002</c:v>
                </c:pt>
                <c:pt idx="51">
                  <c:v>40329.041250000002</c:v>
                </c:pt>
                <c:pt idx="52">
                  <c:v>40359.041250000002</c:v>
                </c:pt>
                <c:pt idx="53">
                  <c:v>40389.041250000002</c:v>
                </c:pt>
                <c:pt idx="54">
                  <c:v>40421.041250000002</c:v>
                </c:pt>
                <c:pt idx="55">
                  <c:v>40451.041250000002</c:v>
                </c:pt>
                <c:pt idx="56">
                  <c:v>40480.041250000002</c:v>
                </c:pt>
                <c:pt idx="57">
                  <c:v>40512.041250000002</c:v>
                </c:pt>
                <c:pt idx="58">
                  <c:v>40543.041250000002</c:v>
                </c:pt>
                <c:pt idx="59">
                  <c:v>40574.041250000002</c:v>
                </c:pt>
                <c:pt idx="60">
                  <c:v>40602.041250000002</c:v>
                </c:pt>
                <c:pt idx="61">
                  <c:v>40633.041250000002</c:v>
                </c:pt>
                <c:pt idx="62">
                  <c:v>40662.041250000002</c:v>
                </c:pt>
                <c:pt idx="63">
                  <c:v>40694.041250000002</c:v>
                </c:pt>
                <c:pt idx="64">
                  <c:v>40724.041250000002</c:v>
                </c:pt>
                <c:pt idx="65">
                  <c:v>40753.041250000002</c:v>
                </c:pt>
                <c:pt idx="66">
                  <c:v>40786.041250000002</c:v>
                </c:pt>
                <c:pt idx="67">
                  <c:v>40816.041250000002</c:v>
                </c:pt>
                <c:pt idx="68">
                  <c:v>40847.041250000002</c:v>
                </c:pt>
                <c:pt idx="69">
                  <c:v>40877.041250000002</c:v>
                </c:pt>
                <c:pt idx="70">
                  <c:v>40907.041250000002</c:v>
                </c:pt>
                <c:pt idx="71">
                  <c:v>40939.041250000002</c:v>
                </c:pt>
                <c:pt idx="72">
                  <c:v>40968.041250000002</c:v>
                </c:pt>
                <c:pt idx="73">
                  <c:v>40998.041250000002</c:v>
                </c:pt>
                <c:pt idx="74">
                  <c:v>41029.041250000002</c:v>
                </c:pt>
                <c:pt idx="75">
                  <c:v>41060.041250000002</c:v>
                </c:pt>
                <c:pt idx="76">
                  <c:v>41089.041250000002</c:v>
                </c:pt>
                <c:pt idx="77">
                  <c:v>41121.041250000002</c:v>
                </c:pt>
                <c:pt idx="78">
                  <c:v>41152.041250000002</c:v>
                </c:pt>
                <c:pt idx="79">
                  <c:v>41180.041250000002</c:v>
                </c:pt>
                <c:pt idx="80">
                  <c:v>41213.041250000002</c:v>
                </c:pt>
                <c:pt idx="81">
                  <c:v>41243.041250000002</c:v>
                </c:pt>
                <c:pt idx="82">
                  <c:v>41274.041250000002</c:v>
                </c:pt>
                <c:pt idx="83">
                  <c:v>41305.041250000002</c:v>
                </c:pt>
                <c:pt idx="84">
                  <c:v>41333.041250000002</c:v>
                </c:pt>
                <c:pt idx="85">
                  <c:v>41360.041250000002</c:v>
                </c:pt>
                <c:pt idx="86">
                  <c:v>41394.041250000002</c:v>
                </c:pt>
                <c:pt idx="87">
                  <c:v>41425.041250000002</c:v>
                </c:pt>
                <c:pt idx="88">
                  <c:v>41453.041250000002</c:v>
                </c:pt>
                <c:pt idx="89">
                  <c:v>41486.041250000002</c:v>
                </c:pt>
                <c:pt idx="90">
                  <c:v>41516.041250000002</c:v>
                </c:pt>
                <c:pt idx="91">
                  <c:v>41547.041250000002</c:v>
                </c:pt>
                <c:pt idx="92">
                  <c:v>41578.041250000002</c:v>
                </c:pt>
                <c:pt idx="93">
                  <c:v>41607.041250000002</c:v>
                </c:pt>
                <c:pt idx="94">
                  <c:v>41639.041250000002</c:v>
                </c:pt>
                <c:pt idx="95">
                  <c:v>41670.041250000002</c:v>
                </c:pt>
                <c:pt idx="96">
                  <c:v>41698.041250000002</c:v>
                </c:pt>
                <c:pt idx="97">
                  <c:v>41729.041250000002</c:v>
                </c:pt>
                <c:pt idx="98">
                  <c:v>41759.041250000002</c:v>
                </c:pt>
                <c:pt idx="99">
                  <c:v>41789.041250000002</c:v>
                </c:pt>
                <c:pt idx="100">
                  <c:v>41820.041250000002</c:v>
                </c:pt>
                <c:pt idx="101">
                  <c:v>41851.041250000002</c:v>
                </c:pt>
                <c:pt idx="102">
                  <c:v>41880.041250000002</c:v>
                </c:pt>
                <c:pt idx="103">
                  <c:v>41912.041250000002</c:v>
                </c:pt>
                <c:pt idx="104">
                  <c:v>41943.041250000002</c:v>
                </c:pt>
                <c:pt idx="105">
                  <c:v>41971.041250000002</c:v>
                </c:pt>
                <c:pt idx="106">
                  <c:v>42004.041250000002</c:v>
                </c:pt>
                <c:pt idx="107">
                  <c:v>42034.041250000002</c:v>
                </c:pt>
                <c:pt idx="108">
                  <c:v>42062.041250000002</c:v>
                </c:pt>
                <c:pt idx="109">
                  <c:v>42094.041250000002</c:v>
                </c:pt>
                <c:pt idx="110">
                  <c:v>42124.041250000002</c:v>
                </c:pt>
                <c:pt idx="111">
                  <c:v>42153.041250000002</c:v>
                </c:pt>
                <c:pt idx="112">
                  <c:v>42185.041250000002</c:v>
                </c:pt>
                <c:pt idx="113">
                  <c:v>42216.041250000002</c:v>
                </c:pt>
                <c:pt idx="114">
                  <c:v>42247.041250000002</c:v>
                </c:pt>
                <c:pt idx="115">
                  <c:v>42277.041250000002</c:v>
                </c:pt>
                <c:pt idx="116">
                  <c:v>42307.041250000002</c:v>
                </c:pt>
                <c:pt idx="117">
                  <c:v>42338.041250000002</c:v>
                </c:pt>
                <c:pt idx="118">
                  <c:v>42369.041250000002</c:v>
                </c:pt>
                <c:pt idx="119">
                  <c:v>42398.041250000002</c:v>
                </c:pt>
                <c:pt idx="120">
                  <c:v>42429.041250000002</c:v>
                </c:pt>
                <c:pt idx="121">
                  <c:v>42460.041250000002</c:v>
                </c:pt>
                <c:pt idx="122">
                  <c:v>42489.041250000002</c:v>
                </c:pt>
                <c:pt idx="123">
                  <c:v>42521.041250000002</c:v>
                </c:pt>
                <c:pt idx="124">
                  <c:v>42551.041250000002</c:v>
                </c:pt>
                <c:pt idx="125">
                  <c:v>42580.041250000002</c:v>
                </c:pt>
                <c:pt idx="126">
                  <c:v>42613.041250000002</c:v>
                </c:pt>
                <c:pt idx="127">
                  <c:v>42643.041250000002</c:v>
                </c:pt>
                <c:pt idx="128">
                  <c:v>42674.041250000002</c:v>
                </c:pt>
                <c:pt idx="129">
                  <c:v>42704.041250000002</c:v>
                </c:pt>
                <c:pt idx="130">
                  <c:v>42734.041250000002</c:v>
                </c:pt>
                <c:pt idx="131">
                  <c:v>42766.041250000002</c:v>
                </c:pt>
                <c:pt idx="132">
                  <c:v>42794.041250000002</c:v>
                </c:pt>
                <c:pt idx="133">
                  <c:v>42825.041250000002</c:v>
                </c:pt>
                <c:pt idx="134">
                  <c:v>42853.041250000002</c:v>
                </c:pt>
                <c:pt idx="135">
                  <c:v>42886.041250000002</c:v>
                </c:pt>
                <c:pt idx="136">
                  <c:v>42916.041250000002</c:v>
                </c:pt>
                <c:pt idx="137">
                  <c:v>42947.041250000002</c:v>
                </c:pt>
                <c:pt idx="138">
                  <c:v>42978.041250000002</c:v>
                </c:pt>
                <c:pt idx="139">
                  <c:v>43007.041250000002</c:v>
                </c:pt>
                <c:pt idx="140">
                  <c:v>43039.041250000002</c:v>
                </c:pt>
                <c:pt idx="141">
                  <c:v>43069.041250000002</c:v>
                </c:pt>
                <c:pt idx="142">
                  <c:v>43098.041250000002</c:v>
                </c:pt>
                <c:pt idx="143">
                  <c:v>43131.041250000002</c:v>
                </c:pt>
                <c:pt idx="144">
                  <c:v>43159.041250000002</c:v>
                </c:pt>
                <c:pt idx="145">
                  <c:v>43187.041250000002</c:v>
                </c:pt>
                <c:pt idx="146">
                  <c:v>43220.041250000002</c:v>
                </c:pt>
                <c:pt idx="147">
                  <c:v>43251.041250000002</c:v>
                </c:pt>
                <c:pt idx="148">
                  <c:v>43280.041250000002</c:v>
                </c:pt>
                <c:pt idx="149">
                  <c:v>43312.041250000002</c:v>
                </c:pt>
                <c:pt idx="150">
                  <c:v>43343.041250000002</c:v>
                </c:pt>
                <c:pt idx="151">
                  <c:v>43371.041250000002</c:v>
                </c:pt>
                <c:pt idx="152">
                  <c:v>43404.041250000002</c:v>
                </c:pt>
                <c:pt idx="153">
                  <c:v>43434.041250000002</c:v>
                </c:pt>
                <c:pt idx="154">
                  <c:v>43465.041250000002</c:v>
                </c:pt>
                <c:pt idx="155">
                  <c:v>43496.041250000002</c:v>
                </c:pt>
                <c:pt idx="156">
                  <c:v>43524.041250000002</c:v>
                </c:pt>
                <c:pt idx="157">
                  <c:v>43553.041250000002</c:v>
                </c:pt>
                <c:pt idx="158">
                  <c:v>43585.041250000002</c:v>
                </c:pt>
                <c:pt idx="159">
                  <c:v>43616.041250000002</c:v>
                </c:pt>
                <c:pt idx="160">
                  <c:v>43644.041250000002</c:v>
                </c:pt>
                <c:pt idx="161">
                  <c:v>43677.041250000002</c:v>
                </c:pt>
                <c:pt idx="162">
                  <c:v>43707.041250000002</c:v>
                </c:pt>
                <c:pt idx="163">
                  <c:v>43738.041250000002</c:v>
                </c:pt>
                <c:pt idx="164">
                  <c:v>43769.041250000002</c:v>
                </c:pt>
                <c:pt idx="165">
                  <c:v>43798.041250000002</c:v>
                </c:pt>
                <c:pt idx="166">
                  <c:v>43830.041250000002</c:v>
                </c:pt>
                <c:pt idx="167">
                  <c:v>43861.041250000002</c:v>
                </c:pt>
                <c:pt idx="168">
                  <c:v>43889.041250000002</c:v>
                </c:pt>
                <c:pt idx="169">
                  <c:v>43921.041250000002</c:v>
                </c:pt>
                <c:pt idx="170">
                  <c:v>43951.041250000002</c:v>
                </c:pt>
                <c:pt idx="171">
                  <c:v>43980.041250000002</c:v>
                </c:pt>
                <c:pt idx="172">
                  <c:v>44012.041250000002</c:v>
                </c:pt>
                <c:pt idx="173">
                  <c:v>44043.041250000002</c:v>
                </c:pt>
                <c:pt idx="174">
                  <c:v>44074.041250000002</c:v>
                </c:pt>
                <c:pt idx="175">
                  <c:v>44104.041250000002</c:v>
                </c:pt>
                <c:pt idx="176">
                  <c:v>44134.041250000002</c:v>
                </c:pt>
                <c:pt idx="177">
                  <c:v>44165.041250000002</c:v>
                </c:pt>
                <c:pt idx="178">
                  <c:v>44196.041250000002</c:v>
                </c:pt>
                <c:pt idx="179">
                  <c:v>44225.041250000002</c:v>
                </c:pt>
                <c:pt idx="180">
                  <c:v>44253.041250000002</c:v>
                </c:pt>
                <c:pt idx="181">
                  <c:v>44286.041250000002</c:v>
                </c:pt>
                <c:pt idx="182">
                  <c:v>44316.041250000002</c:v>
                </c:pt>
                <c:pt idx="183">
                  <c:v>44347.041250000002</c:v>
                </c:pt>
                <c:pt idx="184">
                  <c:v>44377.041250000002</c:v>
                </c:pt>
                <c:pt idx="185">
                  <c:v>44407.041250000002</c:v>
                </c:pt>
                <c:pt idx="186">
                  <c:v>44439.041250000002</c:v>
                </c:pt>
                <c:pt idx="187">
                  <c:v>44469.041250000002</c:v>
                </c:pt>
                <c:pt idx="188">
                  <c:v>44498.041250000002</c:v>
                </c:pt>
                <c:pt idx="189">
                  <c:v>44530.041250000002</c:v>
                </c:pt>
                <c:pt idx="190">
                  <c:v>44561.041250000002</c:v>
                </c:pt>
                <c:pt idx="191">
                  <c:v>44592.041250000002</c:v>
                </c:pt>
                <c:pt idx="192">
                  <c:v>44620.041250000002</c:v>
                </c:pt>
                <c:pt idx="193">
                  <c:v>44651.041250000002</c:v>
                </c:pt>
                <c:pt idx="194">
                  <c:v>44680.041250000002</c:v>
                </c:pt>
                <c:pt idx="195">
                  <c:v>44712.041250000002</c:v>
                </c:pt>
                <c:pt idx="196">
                  <c:v>44742.041250000002</c:v>
                </c:pt>
                <c:pt idx="197">
                  <c:v>44771.041250000002</c:v>
                </c:pt>
                <c:pt idx="198">
                  <c:v>44804.041250000002</c:v>
                </c:pt>
                <c:pt idx="199">
                  <c:v>44834.041250000002</c:v>
                </c:pt>
                <c:pt idx="200">
                  <c:v>44865.041250000002</c:v>
                </c:pt>
                <c:pt idx="201">
                  <c:v>44895.041250000002</c:v>
                </c:pt>
                <c:pt idx="202">
                  <c:v>44925.041250000002</c:v>
                </c:pt>
                <c:pt idx="203">
                  <c:v>44957.041250000002</c:v>
                </c:pt>
                <c:pt idx="204">
                  <c:v>44985.041250000002</c:v>
                </c:pt>
                <c:pt idx="205">
                  <c:v>45016.041250000002</c:v>
                </c:pt>
                <c:pt idx="206">
                  <c:v>45044.041250000002</c:v>
                </c:pt>
                <c:pt idx="207">
                  <c:v>45077.041250000002</c:v>
                </c:pt>
                <c:pt idx="208">
                  <c:v>45107.041250000002</c:v>
                </c:pt>
                <c:pt idx="209">
                  <c:v>45138.041250000002</c:v>
                </c:pt>
                <c:pt idx="210">
                  <c:v>45169.041250000002</c:v>
                </c:pt>
                <c:pt idx="211">
                  <c:v>45198.041250000002</c:v>
                </c:pt>
                <c:pt idx="212">
                  <c:v>45230.041250000002</c:v>
                </c:pt>
                <c:pt idx="213">
                  <c:v>45260.041250000002</c:v>
                </c:pt>
                <c:pt idx="214">
                  <c:v>45289.041250000002</c:v>
                </c:pt>
                <c:pt idx="215">
                  <c:v>45322.041250000002</c:v>
                </c:pt>
                <c:pt idx="216">
                  <c:v>45351.041250000002</c:v>
                </c:pt>
                <c:pt idx="217">
                  <c:v>45378.041250000002</c:v>
                </c:pt>
                <c:pt idx="218">
                  <c:v>45412.041250000002</c:v>
                </c:pt>
                <c:pt idx="219">
                  <c:v>45443.041250000002</c:v>
                </c:pt>
                <c:pt idx="220">
                  <c:v>45471.041250000002</c:v>
                </c:pt>
                <c:pt idx="221">
                  <c:v>45504.041250000002</c:v>
                </c:pt>
                <c:pt idx="222">
                  <c:v>45534.041250000002</c:v>
                </c:pt>
                <c:pt idx="223">
                  <c:v>45565.041250000002</c:v>
                </c:pt>
                <c:pt idx="224">
                  <c:v>45596.041250000002</c:v>
                </c:pt>
                <c:pt idx="225">
                  <c:v>45625.041250000002</c:v>
                </c:pt>
                <c:pt idx="226">
                  <c:v>45657.041250000002</c:v>
                </c:pt>
                <c:pt idx="227">
                  <c:v>45688.041250000002</c:v>
                </c:pt>
                <c:pt idx="228">
                  <c:v>45716.041250000002</c:v>
                </c:pt>
                <c:pt idx="229">
                  <c:v>45747.041250000002</c:v>
                </c:pt>
                <c:pt idx="230">
                  <c:v>45777.041250000002</c:v>
                </c:pt>
                <c:pt idx="231">
                  <c:v>45807.041250000002</c:v>
                </c:pt>
                <c:pt idx="232">
                  <c:v>45838.041250000002</c:v>
                </c:pt>
                <c:pt idx="233">
                  <c:v>45869.041250000002</c:v>
                </c:pt>
                <c:pt idx="234">
                  <c:v>45898.041250000002</c:v>
                </c:pt>
                <c:pt idx="235">
                  <c:v>45930.041250000002</c:v>
                </c:pt>
                <c:pt idx="236">
                  <c:v>45961.041250000002</c:v>
                </c:pt>
                <c:pt idx="237">
                  <c:v>45989.041250000002</c:v>
                </c:pt>
                <c:pt idx="238">
                  <c:v>46022.041250000002</c:v>
                </c:pt>
                <c:pt idx="239">
                  <c:v>46052.041250000002</c:v>
                </c:pt>
                <c:pt idx="240">
                  <c:v>46080.041250000002</c:v>
                </c:pt>
                <c:pt idx="241">
                  <c:v>46112.041250000002</c:v>
                </c:pt>
                <c:pt idx="242">
                  <c:v>46142.041250000002</c:v>
                </c:pt>
                <c:pt idx="243">
                  <c:v>46171.041250000002</c:v>
                </c:pt>
                <c:pt idx="244">
                  <c:v>46203.041250000002</c:v>
                </c:pt>
                <c:pt idx="245">
                  <c:v>46209.041250000002</c:v>
                </c:pt>
              </c:numCache>
            </c:numRef>
          </c:cat>
          <c:val>
            <c:numRef>
              <c:f>report!$H$2:$H$247</c:f>
              <c:numCache>
                <c:formatCode>##,##0.00###########</c:formatCode>
                <c:ptCount val="246"/>
                <c:pt idx="0">
                  <c:v>24.199211999999999</c:v>
                </c:pt>
                <c:pt idx="1">
                  <c:v>28.002751</c:v>
                </c:pt>
                <c:pt idx="2">
                  <c:v>29.582187000000001</c:v>
                </c:pt>
                <c:pt idx="3">
                  <c:v>31.14556</c:v>
                </c:pt>
                <c:pt idx="4">
                  <c:v>30.479523</c:v>
                </c:pt>
                <c:pt idx="5">
                  <c:v>27.132686</c:v>
                </c:pt>
                <c:pt idx="6">
                  <c:v>30.754263000000002</c:v>
                </c:pt>
                <c:pt idx="7">
                  <c:v>31.270441999999999</c:v>
                </c:pt>
                <c:pt idx="8">
                  <c:v>33.818033999999997</c:v>
                </c:pt>
                <c:pt idx="9">
                  <c:v>36.049258000000002</c:v>
                </c:pt>
                <c:pt idx="10">
                  <c:v>35.291640999999998</c:v>
                </c:pt>
                <c:pt idx="11">
                  <c:v>37.323053999999999</c:v>
                </c:pt>
                <c:pt idx="12">
                  <c:v>38.563547999999997</c:v>
                </c:pt>
                <c:pt idx="13">
                  <c:v>39.720787000000001</c:v>
                </c:pt>
                <c:pt idx="14">
                  <c:v>41.38588</c:v>
                </c:pt>
                <c:pt idx="15">
                  <c:v>45.207808</c:v>
                </c:pt>
                <c:pt idx="16">
                  <c:v>45.584040999999999</c:v>
                </c:pt>
                <c:pt idx="17">
                  <c:v>45.601142000000003</c:v>
                </c:pt>
                <c:pt idx="18">
                  <c:v>47.644770999999999</c:v>
                </c:pt>
                <c:pt idx="19">
                  <c:v>51.099274000000001</c:v>
                </c:pt>
                <c:pt idx="20">
                  <c:v>47.935496999999998</c:v>
                </c:pt>
                <c:pt idx="21">
                  <c:v>42.822149000000003</c:v>
                </c:pt>
                <c:pt idx="22">
                  <c:v>41.770406999999999</c:v>
                </c:pt>
                <c:pt idx="23">
                  <c:v>39.641271000000003</c:v>
                </c:pt>
                <c:pt idx="24">
                  <c:v>41.992725999999998</c:v>
                </c:pt>
                <c:pt idx="25">
                  <c:v>41.146202000000002</c:v>
                </c:pt>
                <c:pt idx="26">
                  <c:v>36.674160999999998</c:v>
                </c:pt>
                <c:pt idx="27">
                  <c:v>31.244434999999999</c:v>
                </c:pt>
                <c:pt idx="28">
                  <c:v>26.002827</c:v>
                </c:pt>
                <c:pt idx="29">
                  <c:v>25.643695000000001</c:v>
                </c:pt>
                <c:pt idx="30">
                  <c:v>25.079346000000001</c:v>
                </c:pt>
                <c:pt idx="31">
                  <c:v>23.574414000000001</c:v>
                </c:pt>
                <c:pt idx="32">
                  <c:v>19.940346000000002</c:v>
                </c:pt>
                <c:pt idx="33">
                  <c:v>25.293113999999999</c:v>
                </c:pt>
                <c:pt idx="34">
                  <c:v>26.900655</c:v>
                </c:pt>
                <c:pt idx="35">
                  <c:v>22.881803000000001</c:v>
                </c:pt>
                <c:pt idx="36">
                  <c:v>22.095134000000002</c:v>
                </c:pt>
                <c:pt idx="37">
                  <c:v>22.035278999999999</c:v>
                </c:pt>
                <c:pt idx="38">
                  <c:v>23.976299000000001</c:v>
                </c:pt>
                <c:pt idx="39">
                  <c:v>23.582965000000002</c:v>
                </c:pt>
                <c:pt idx="40">
                  <c:v>28.764717999999998</c:v>
                </c:pt>
                <c:pt idx="41">
                  <c:v>31.706175999999999</c:v>
                </c:pt>
                <c:pt idx="42">
                  <c:v>29.825011</c:v>
                </c:pt>
                <c:pt idx="43">
                  <c:v>33.134151000000003</c:v>
                </c:pt>
                <c:pt idx="44">
                  <c:v>28.226020999999999</c:v>
                </c:pt>
                <c:pt idx="45">
                  <c:v>31.321391999999999</c:v>
                </c:pt>
                <c:pt idx="46">
                  <c:v>34.784444999999998</c:v>
                </c:pt>
                <c:pt idx="47">
                  <c:v>35.323141999999997</c:v>
                </c:pt>
                <c:pt idx="48">
                  <c:v>37.264161999999999</c:v>
                </c:pt>
                <c:pt idx="49">
                  <c:v>39.350544999999997</c:v>
                </c:pt>
                <c:pt idx="50">
                  <c:v>37.272713000000003</c:v>
                </c:pt>
                <c:pt idx="51">
                  <c:v>39.042718000000001</c:v>
                </c:pt>
                <c:pt idx="52">
                  <c:v>32.108060999999999</c:v>
                </c:pt>
                <c:pt idx="53">
                  <c:v>35.083722000000002</c:v>
                </c:pt>
                <c:pt idx="54">
                  <c:v>31.329943</c:v>
                </c:pt>
                <c:pt idx="55">
                  <c:v>37.195756000000003</c:v>
                </c:pt>
                <c:pt idx="56">
                  <c:v>39.290689999999998</c:v>
                </c:pt>
                <c:pt idx="57">
                  <c:v>40.846926000000003</c:v>
                </c:pt>
                <c:pt idx="58">
                  <c:v>43.053018999999999</c:v>
                </c:pt>
                <c:pt idx="59">
                  <c:v>40.479244000000001</c:v>
                </c:pt>
                <c:pt idx="60">
                  <c:v>39.341994</c:v>
                </c:pt>
                <c:pt idx="61">
                  <c:v>43.241135999999997</c:v>
                </c:pt>
                <c:pt idx="62">
                  <c:v>40.940984</c:v>
                </c:pt>
                <c:pt idx="63">
                  <c:v>40.427939000000002</c:v>
                </c:pt>
                <c:pt idx="64">
                  <c:v>41.103448999999998</c:v>
                </c:pt>
                <c:pt idx="65">
                  <c:v>41.129100999999999</c:v>
                </c:pt>
                <c:pt idx="66">
                  <c:v>40.940984</c:v>
                </c:pt>
                <c:pt idx="67">
                  <c:v>39.658372</c:v>
                </c:pt>
                <c:pt idx="68">
                  <c:v>39.846488999999998</c:v>
                </c:pt>
                <c:pt idx="69">
                  <c:v>40.436489999999999</c:v>
                </c:pt>
                <c:pt idx="70">
                  <c:v>40.385185999999997</c:v>
                </c:pt>
                <c:pt idx="71">
                  <c:v>41.770406999999999</c:v>
                </c:pt>
                <c:pt idx="72">
                  <c:v>41.086347000000004</c:v>
                </c:pt>
                <c:pt idx="73">
                  <c:v>40.427939000000002</c:v>
                </c:pt>
                <c:pt idx="74">
                  <c:v>43.224034000000003</c:v>
                </c:pt>
                <c:pt idx="75">
                  <c:v>43.412151000000001</c:v>
                </c:pt>
                <c:pt idx="76">
                  <c:v>45.139401999999997</c:v>
                </c:pt>
                <c:pt idx="77">
                  <c:v>44.703313999999999</c:v>
                </c:pt>
                <c:pt idx="78">
                  <c:v>44.506646000000003</c:v>
                </c:pt>
                <c:pt idx="79">
                  <c:v>47.831000000000003</c:v>
                </c:pt>
                <c:pt idx="80">
                  <c:v>55.307623999999997</c:v>
                </c:pt>
                <c:pt idx="81">
                  <c:v>58.446396</c:v>
                </c:pt>
                <c:pt idx="82">
                  <c:v>64.865007000000006</c:v>
                </c:pt>
                <c:pt idx="83">
                  <c:v>69.846485000000001</c:v>
                </c:pt>
                <c:pt idx="84">
                  <c:v>69.608431999999993</c:v>
                </c:pt>
                <c:pt idx="85">
                  <c:v>64.203749000000002</c:v>
                </c:pt>
                <c:pt idx="86">
                  <c:v>61.285397000000003</c:v>
                </c:pt>
                <c:pt idx="87">
                  <c:v>59.786544999999997</c:v>
                </c:pt>
                <c:pt idx="88">
                  <c:v>57.864488999999999</c:v>
                </c:pt>
                <c:pt idx="89">
                  <c:v>58.622731000000002</c:v>
                </c:pt>
                <c:pt idx="90">
                  <c:v>58.746166000000002</c:v>
                </c:pt>
                <c:pt idx="91">
                  <c:v>58.869601000000003</c:v>
                </c:pt>
                <c:pt idx="92">
                  <c:v>59.848263000000003</c:v>
                </c:pt>
                <c:pt idx="93">
                  <c:v>60.756391000000001</c:v>
                </c:pt>
                <c:pt idx="94">
                  <c:v>61.541083</c:v>
                </c:pt>
                <c:pt idx="95">
                  <c:v>63.956879999999998</c:v>
                </c:pt>
                <c:pt idx="96">
                  <c:v>62.678446999999998</c:v>
                </c:pt>
                <c:pt idx="97">
                  <c:v>67.201452000000003</c:v>
                </c:pt>
                <c:pt idx="98">
                  <c:v>69.370379</c:v>
                </c:pt>
                <c:pt idx="99">
                  <c:v>72.293526999999997</c:v>
                </c:pt>
                <c:pt idx="100">
                  <c:v>80.112751000000003</c:v>
                </c:pt>
                <c:pt idx="101">
                  <c:v>81.201041000000004</c:v>
                </c:pt>
                <c:pt idx="102">
                  <c:v>83.011808000000002</c:v>
                </c:pt>
                <c:pt idx="103">
                  <c:v>82.938646000000006</c:v>
                </c:pt>
                <c:pt idx="104">
                  <c:v>83.79</c:v>
                </c:pt>
                <c:pt idx="105">
                  <c:v>86.761377999999993</c:v>
                </c:pt>
                <c:pt idx="106">
                  <c:v>84.795140000000004</c:v>
                </c:pt>
                <c:pt idx="107">
                  <c:v>90.629835999999997</c:v>
                </c:pt>
                <c:pt idx="108">
                  <c:v>92.687526000000005</c:v>
                </c:pt>
                <c:pt idx="109">
                  <c:v>91.452911999999998</c:v>
                </c:pt>
                <c:pt idx="110">
                  <c:v>99.894015999999993</c:v>
                </c:pt>
                <c:pt idx="111">
                  <c:v>102.672748</c:v>
                </c:pt>
                <c:pt idx="112">
                  <c:v>100.948415</c:v>
                </c:pt>
                <c:pt idx="113">
                  <c:v>119.19447599999999</c:v>
                </c:pt>
                <c:pt idx="114">
                  <c:v>131.55531500000001</c:v>
                </c:pt>
                <c:pt idx="115">
                  <c:v>137.777906</c:v>
                </c:pt>
                <c:pt idx="116">
                  <c:v>139.41789600000001</c:v>
                </c:pt>
                <c:pt idx="117">
                  <c:v>141.32028399999999</c:v>
                </c:pt>
                <c:pt idx="118">
                  <c:v>142.49170599999999</c:v>
                </c:pt>
                <c:pt idx="119">
                  <c:v>142.763476</c:v>
                </c:pt>
                <c:pt idx="120">
                  <c:v>134.329241</c:v>
                </c:pt>
                <c:pt idx="121">
                  <c:v>144.450322</c:v>
                </c:pt>
                <c:pt idx="122">
                  <c:v>151.90993399999999</c:v>
                </c:pt>
                <c:pt idx="123">
                  <c:v>178.298777</c:v>
                </c:pt>
                <c:pt idx="124">
                  <c:v>179.47412199999999</c:v>
                </c:pt>
                <c:pt idx="125">
                  <c:v>176.27298099999999</c:v>
                </c:pt>
                <c:pt idx="126">
                  <c:v>178.45166800000001</c:v>
                </c:pt>
                <c:pt idx="127">
                  <c:v>175.928977</c:v>
                </c:pt>
                <c:pt idx="128">
                  <c:v>174.57207600000001</c:v>
                </c:pt>
                <c:pt idx="129">
                  <c:v>167.424453</c:v>
                </c:pt>
                <c:pt idx="130">
                  <c:v>162.90463299999999</c:v>
                </c:pt>
                <c:pt idx="131">
                  <c:v>154.39055400000001</c:v>
                </c:pt>
                <c:pt idx="132">
                  <c:v>166.09621899999999</c:v>
                </c:pt>
                <c:pt idx="133">
                  <c:v>174.02740399999999</c:v>
                </c:pt>
                <c:pt idx="134">
                  <c:v>184.99728400000001</c:v>
                </c:pt>
                <c:pt idx="135">
                  <c:v>181.09847099999999</c:v>
                </c:pt>
                <c:pt idx="136">
                  <c:v>198.51290599999999</c:v>
                </c:pt>
                <c:pt idx="137">
                  <c:v>197.99814599999999</c:v>
                </c:pt>
                <c:pt idx="138">
                  <c:v>191.53936200000001</c:v>
                </c:pt>
                <c:pt idx="139">
                  <c:v>181.04019600000001</c:v>
                </c:pt>
                <c:pt idx="140">
                  <c:v>176.60160300000001</c:v>
                </c:pt>
                <c:pt idx="141">
                  <c:v>180.156363</c:v>
                </c:pt>
                <c:pt idx="142">
                  <c:v>196.27904100000001</c:v>
                </c:pt>
                <c:pt idx="143">
                  <c:v>188.994698</c:v>
                </c:pt>
                <c:pt idx="144">
                  <c:v>176.88326499999999</c:v>
                </c:pt>
                <c:pt idx="145">
                  <c:v>174.46486300000001</c:v>
                </c:pt>
                <c:pt idx="146">
                  <c:v>188.946136</c:v>
                </c:pt>
                <c:pt idx="147">
                  <c:v>167.238294</c:v>
                </c:pt>
                <c:pt idx="148">
                  <c:v>180.96651700000001</c:v>
                </c:pt>
                <c:pt idx="149">
                  <c:v>173.320044</c:v>
                </c:pt>
                <c:pt idx="150">
                  <c:v>194.27157600000001</c:v>
                </c:pt>
                <c:pt idx="151">
                  <c:v>201.32758699999999</c:v>
                </c:pt>
                <c:pt idx="152">
                  <c:v>165.37834100000001</c:v>
                </c:pt>
                <c:pt idx="153">
                  <c:v>138.86663300000001</c:v>
                </c:pt>
                <c:pt idx="154">
                  <c:v>157.29886400000001</c:v>
                </c:pt>
                <c:pt idx="155">
                  <c:v>168.90142599999999</c:v>
                </c:pt>
                <c:pt idx="156">
                  <c:v>176.744719</c:v>
                </c:pt>
                <c:pt idx="157">
                  <c:v>169.58</c:v>
                </c:pt>
                <c:pt idx="158">
                  <c:v>189.69550100000001</c:v>
                </c:pt>
                <c:pt idx="159">
                  <c:v>191.79</c:v>
                </c:pt>
                <c:pt idx="160">
                  <c:v>199.88</c:v>
                </c:pt>
                <c:pt idx="161">
                  <c:v>192.31</c:v>
                </c:pt>
                <c:pt idx="162">
                  <c:v>191.2</c:v>
                </c:pt>
                <c:pt idx="163">
                  <c:v>189.9</c:v>
                </c:pt>
                <c:pt idx="164">
                  <c:v>201.68</c:v>
                </c:pt>
                <c:pt idx="165">
                  <c:v>198.79</c:v>
                </c:pt>
                <c:pt idx="166">
                  <c:v>224.67</c:v>
                </c:pt>
                <c:pt idx="167">
                  <c:v>233.54</c:v>
                </c:pt>
                <c:pt idx="168">
                  <c:v>213.66</c:v>
                </c:pt>
                <c:pt idx="169">
                  <c:v>127.39</c:v>
                </c:pt>
                <c:pt idx="170">
                  <c:v>150.6</c:v>
                </c:pt>
                <c:pt idx="171">
                  <c:v>146.38999999999999</c:v>
                </c:pt>
                <c:pt idx="172">
                  <c:v>165.27</c:v>
                </c:pt>
                <c:pt idx="173">
                  <c:v>147.72999999999999</c:v>
                </c:pt>
                <c:pt idx="174">
                  <c:v>170.18</c:v>
                </c:pt>
                <c:pt idx="175">
                  <c:v>177.49</c:v>
                </c:pt>
                <c:pt idx="176">
                  <c:v>176.53</c:v>
                </c:pt>
                <c:pt idx="177">
                  <c:v>206.92</c:v>
                </c:pt>
                <c:pt idx="178">
                  <c:v>222.14</c:v>
                </c:pt>
                <c:pt idx="179">
                  <c:v>206.6</c:v>
                </c:pt>
                <c:pt idx="180">
                  <c:v>211.64</c:v>
                </c:pt>
                <c:pt idx="181">
                  <c:v>213.66</c:v>
                </c:pt>
                <c:pt idx="182">
                  <c:v>208.24</c:v>
                </c:pt>
                <c:pt idx="183">
                  <c:v>215.08</c:v>
                </c:pt>
                <c:pt idx="184">
                  <c:v>212.15</c:v>
                </c:pt>
                <c:pt idx="185">
                  <c:v>228.96</c:v>
                </c:pt>
                <c:pt idx="186">
                  <c:v>233.88</c:v>
                </c:pt>
                <c:pt idx="187">
                  <c:v>239.99</c:v>
                </c:pt>
                <c:pt idx="188">
                  <c:v>259.52999999999997</c:v>
                </c:pt>
                <c:pt idx="189">
                  <c:v>247.69</c:v>
                </c:pt>
                <c:pt idx="190">
                  <c:v>282.16000000000003</c:v>
                </c:pt>
                <c:pt idx="191">
                  <c:v>283.61</c:v>
                </c:pt>
                <c:pt idx="192">
                  <c:v>297.91000000000003</c:v>
                </c:pt>
                <c:pt idx="193">
                  <c:v>322.61</c:v>
                </c:pt>
                <c:pt idx="194">
                  <c:v>314.02999999999997</c:v>
                </c:pt>
                <c:pt idx="195">
                  <c:v>295.45999999999998</c:v>
                </c:pt>
                <c:pt idx="196">
                  <c:v>280.08999999999997</c:v>
                </c:pt>
                <c:pt idx="197">
                  <c:v>276.39999999999998</c:v>
                </c:pt>
                <c:pt idx="198">
                  <c:v>286.83999999999997</c:v>
                </c:pt>
                <c:pt idx="199">
                  <c:v>254.55</c:v>
                </c:pt>
                <c:pt idx="200">
                  <c:v>306.89999999999998</c:v>
                </c:pt>
                <c:pt idx="201">
                  <c:v>311.36</c:v>
                </c:pt>
                <c:pt idx="202">
                  <c:v>279.14999999999998</c:v>
                </c:pt>
                <c:pt idx="203">
                  <c:v>325.08999999999997</c:v>
                </c:pt>
                <c:pt idx="204">
                  <c:v>347.97</c:v>
                </c:pt>
                <c:pt idx="205">
                  <c:v>350.61</c:v>
                </c:pt>
                <c:pt idx="206">
                  <c:v>319.89</c:v>
                </c:pt>
                <c:pt idx="207">
                  <c:v>312.97000000000003</c:v>
                </c:pt>
                <c:pt idx="208">
                  <c:v>307.23</c:v>
                </c:pt>
                <c:pt idx="209">
                  <c:v>319.05</c:v>
                </c:pt>
                <c:pt idx="210">
                  <c:v>313.26</c:v>
                </c:pt>
                <c:pt idx="211">
                  <c:v>286.44</c:v>
                </c:pt>
                <c:pt idx="212">
                  <c:v>210.31</c:v>
                </c:pt>
                <c:pt idx="213">
                  <c:v>264.56</c:v>
                </c:pt>
                <c:pt idx="214">
                  <c:v>296.43</c:v>
                </c:pt>
                <c:pt idx="215">
                  <c:v>267.95</c:v>
                </c:pt>
                <c:pt idx="216">
                  <c:v>251.67</c:v>
                </c:pt>
                <c:pt idx="217">
                  <c:v>267.01</c:v>
                </c:pt>
                <c:pt idx="218">
                  <c:v>312.02</c:v>
                </c:pt>
                <c:pt idx="219">
                  <c:v>319.23</c:v>
                </c:pt>
                <c:pt idx="220">
                  <c:v>286.18</c:v>
                </c:pt>
                <c:pt idx="221">
                  <c:v>297.25</c:v>
                </c:pt>
                <c:pt idx="222">
                  <c:v>348.77</c:v>
                </c:pt>
                <c:pt idx="223">
                  <c:v>341.9</c:v>
                </c:pt>
                <c:pt idx="224">
                  <c:v>346.96</c:v>
                </c:pt>
                <c:pt idx="225">
                  <c:v>375.31</c:v>
                </c:pt>
                <c:pt idx="226">
                  <c:v>366.54</c:v>
                </c:pt>
                <c:pt idx="227">
                  <c:v>383</c:v>
                </c:pt>
                <c:pt idx="228">
                  <c:v>387.44</c:v>
                </c:pt>
                <c:pt idx="229">
                  <c:v>378.4</c:v>
                </c:pt>
                <c:pt idx="230">
                  <c:v>398.16</c:v>
                </c:pt>
                <c:pt idx="231">
                  <c:v>445.94</c:v>
                </c:pt>
                <c:pt idx="232">
                  <c:v>430.73</c:v>
                </c:pt>
                <c:pt idx="233">
                  <c:v>433.39</c:v>
                </c:pt>
                <c:pt idx="234">
                  <c:v>448.86</c:v>
                </c:pt>
                <c:pt idx="235">
                  <c:v>432.9</c:v>
                </c:pt>
                <c:pt idx="236">
                  <c:v>387.27</c:v>
                </c:pt>
                <c:pt idx="237">
                  <c:v>446.27</c:v>
                </c:pt>
                <c:pt idx="238">
                  <c:v>473.06</c:v>
                </c:pt>
                <c:pt idx="239">
                  <c:v>479.82</c:v>
                </c:pt>
                <c:pt idx="240">
                  <c:v>449.4</c:v>
                </c:pt>
                <c:pt idx="241">
                  <c:v>442.15</c:v>
                </c:pt>
                <c:pt idx="242">
                  <c:v>438.21</c:v>
                </c:pt>
                <c:pt idx="243">
                  <c:v>408.32</c:v>
                </c:pt>
                <c:pt idx="244">
                  <c:v>442.26</c:v>
                </c:pt>
                <c:pt idx="245">
                  <c:v>441.9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9D-4945-8941-88B212AF0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945872"/>
        <c:axId val="1929244208"/>
      </c:lineChart>
      <c:dateAx>
        <c:axId val="64945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9244208"/>
        <c:crosses val="autoZero"/>
        <c:auto val="0"/>
        <c:lblOffset val="100"/>
        <c:baseTimeUnit val="months"/>
        <c:majorUnit val="2"/>
        <c:majorTimeUnit val="years"/>
      </c:dateAx>
      <c:valAx>
        <c:axId val="192924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Precio (MXN)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94587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BANORTE — Precio de cierre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report!$J$1</c:f>
              <c:strCache>
                <c:ptCount val="1"/>
                <c:pt idx="0">
                  <c:v>BANORTE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report!$A$2:$A$247</c:f>
              <c:numCache>
                <c:formatCode>m/d/yyyy</c:formatCode>
                <c:ptCount val="246"/>
                <c:pt idx="0">
                  <c:v>38776.041250000002</c:v>
                </c:pt>
                <c:pt idx="1">
                  <c:v>38807.041250000002</c:v>
                </c:pt>
                <c:pt idx="2">
                  <c:v>38835.041250000002</c:v>
                </c:pt>
                <c:pt idx="3">
                  <c:v>38868.041250000002</c:v>
                </c:pt>
                <c:pt idx="4">
                  <c:v>38898.041250000002</c:v>
                </c:pt>
                <c:pt idx="5">
                  <c:v>38929.041250000002</c:v>
                </c:pt>
                <c:pt idx="6">
                  <c:v>38960.041250000002</c:v>
                </c:pt>
                <c:pt idx="7">
                  <c:v>38989.041250000002</c:v>
                </c:pt>
                <c:pt idx="8">
                  <c:v>39021.041250000002</c:v>
                </c:pt>
                <c:pt idx="9">
                  <c:v>39051.041250000002</c:v>
                </c:pt>
                <c:pt idx="10">
                  <c:v>39080.041250000002</c:v>
                </c:pt>
                <c:pt idx="11">
                  <c:v>39113.041250000002</c:v>
                </c:pt>
                <c:pt idx="12">
                  <c:v>39141.041250000002</c:v>
                </c:pt>
                <c:pt idx="13">
                  <c:v>39171.041250000002</c:v>
                </c:pt>
                <c:pt idx="14">
                  <c:v>39202.041250000002</c:v>
                </c:pt>
                <c:pt idx="15">
                  <c:v>39233.041250000002</c:v>
                </c:pt>
                <c:pt idx="16">
                  <c:v>39262.041250000002</c:v>
                </c:pt>
                <c:pt idx="17">
                  <c:v>39294.041250000002</c:v>
                </c:pt>
                <c:pt idx="18">
                  <c:v>39325.041250000002</c:v>
                </c:pt>
                <c:pt idx="19">
                  <c:v>39353.041250000002</c:v>
                </c:pt>
                <c:pt idx="20">
                  <c:v>39386.041250000002</c:v>
                </c:pt>
                <c:pt idx="21">
                  <c:v>39416.041250000002</c:v>
                </c:pt>
                <c:pt idx="22">
                  <c:v>39447.041250000002</c:v>
                </c:pt>
                <c:pt idx="23">
                  <c:v>39478.041250000002</c:v>
                </c:pt>
                <c:pt idx="24">
                  <c:v>39507.041250000002</c:v>
                </c:pt>
                <c:pt idx="25">
                  <c:v>39538.041250000002</c:v>
                </c:pt>
                <c:pt idx="26">
                  <c:v>39568.041250000002</c:v>
                </c:pt>
                <c:pt idx="27">
                  <c:v>39598.041250000002</c:v>
                </c:pt>
                <c:pt idx="28">
                  <c:v>39629.041250000002</c:v>
                </c:pt>
                <c:pt idx="29">
                  <c:v>39660.041250000002</c:v>
                </c:pt>
                <c:pt idx="30">
                  <c:v>39689.041250000002</c:v>
                </c:pt>
                <c:pt idx="31">
                  <c:v>39721.041250000002</c:v>
                </c:pt>
                <c:pt idx="32">
                  <c:v>39752.041250000002</c:v>
                </c:pt>
                <c:pt idx="33">
                  <c:v>39780.041250000002</c:v>
                </c:pt>
                <c:pt idx="34">
                  <c:v>39813.041250000002</c:v>
                </c:pt>
                <c:pt idx="35">
                  <c:v>39843.041250000002</c:v>
                </c:pt>
                <c:pt idx="36">
                  <c:v>39871.041250000002</c:v>
                </c:pt>
                <c:pt idx="37">
                  <c:v>39903.041250000002</c:v>
                </c:pt>
                <c:pt idx="38">
                  <c:v>39933.041250000002</c:v>
                </c:pt>
                <c:pt idx="39">
                  <c:v>39962.041250000002</c:v>
                </c:pt>
                <c:pt idx="40">
                  <c:v>39994.041250000002</c:v>
                </c:pt>
                <c:pt idx="41">
                  <c:v>40025.041250000002</c:v>
                </c:pt>
                <c:pt idx="42">
                  <c:v>40056.041250000002</c:v>
                </c:pt>
                <c:pt idx="43">
                  <c:v>40086.041250000002</c:v>
                </c:pt>
                <c:pt idx="44">
                  <c:v>40116.041250000002</c:v>
                </c:pt>
                <c:pt idx="45">
                  <c:v>40147.041250000002</c:v>
                </c:pt>
                <c:pt idx="46">
                  <c:v>40178.041250000002</c:v>
                </c:pt>
                <c:pt idx="47">
                  <c:v>40207.041250000002</c:v>
                </c:pt>
                <c:pt idx="48">
                  <c:v>40235.041250000002</c:v>
                </c:pt>
                <c:pt idx="49">
                  <c:v>40268.041250000002</c:v>
                </c:pt>
                <c:pt idx="50">
                  <c:v>40298.041250000002</c:v>
                </c:pt>
                <c:pt idx="51">
                  <c:v>40329.041250000002</c:v>
                </c:pt>
                <c:pt idx="52">
                  <c:v>40359.041250000002</c:v>
                </c:pt>
                <c:pt idx="53">
                  <c:v>40389.041250000002</c:v>
                </c:pt>
                <c:pt idx="54">
                  <c:v>40421.041250000002</c:v>
                </c:pt>
                <c:pt idx="55">
                  <c:v>40451.041250000002</c:v>
                </c:pt>
                <c:pt idx="56">
                  <c:v>40480.041250000002</c:v>
                </c:pt>
                <c:pt idx="57">
                  <c:v>40512.041250000002</c:v>
                </c:pt>
                <c:pt idx="58">
                  <c:v>40543.041250000002</c:v>
                </c:pt>
                <c:pt idx="59">
                  <c:v>40574.041250000002</c:v>
                </c:pt>
                <c:pt idx="60">
                  <c:v>40602.041250000002</c:v>
                </c:pt>
                <c:pt idx="61">
                  <c:v>40633.041250000002</c:v>
                </c:pt>
                <c:pt idx="62">
                  <c:v>40662.041250000002</c:v>
                </c:pt>
                <c:pt idx="63">
                  <c:v>40694.041250000002</c:v>
                </c:pt>
                <c:pt idx="64">
                  <c:v>40724.041250000002</c:v>
                </c:pt>
                <c:pt idx="65">
                  <c:v>40753.041250000002</c:v>
                </c:pt>
                <c:pt idx="66">
                  <c:v>40786.041250000002</c:v>
                </c:pt>
                <c:pt idx="67">
                  <c:v>40816.041250000002</c:v>
                </c:pt>
                <c:pt idx="68">
                  <c:v>40847.041250000002</c:v>
                </c:pt>
                <c:pt idx="69">
                  <c:v>40877.041250000002</c:v>
                </c:pt>
                <c:pt idx="70">
                  <c:v>40907.041250000002</c:v>
                </c:pt>
                <c:pt idx="71">
                  <c:v>40939.041250000002</c:v>
                </c:pt>
                <c:pt idx="72">
                  <c:v>40968.041250000002</c:v>
                </c:pt>
                <c:pt idx="73">
                  <c:v>40998.041250000002</c:v>
                </c:pt>
                <c:pt idx="74">
                  <c:v>41029.041250000002</c:v>
                </c:pt>
                <c:pt idx="75">
                  <c:v>41060.041250000002</c:v>
                </c:pt>
                <c:pt idx="76">
                  <c:v>41089.041250000002</c:v>
                </c:pt>
                <c:pt idx="77">
                  <c:v>41121.041250000002</c:v>
                </c:pt>
                <c:pt idx="78">
                  <c:v>41152.041250000002</c:v>
                </c:pt>
                <c:pt idx="79">
                  <c:v>41180.041250000002</c:v>
                </c:pt>
                <c:pt idx="80">
                  <c:v>41213.041250000002</c:v>
                </c:pt>
                <c:pt idx="81">
                  <c:v>41243.041250000002</c:v>
                </c:pt>
                <c:pt idx="82">
                  <c:v>41274.041250000002</c:v>
                </c:pt>
                <c:pt idx="83">
                  <c:v>41305.041250000002</c:v>
                </c:pt>
                <c:pt idx="84">
                  <c:v>41333.041250000002</c:v>
                </c:pt>
                <c:pt idx="85">
                  <c:v>41360.041250000002</c:v>
                </c:pt>
                <c:pt idx="86">
                  <c:v>41394.041250000002</c:v>
                </c:pt>
                <c:pt idx="87">
                  <c:v>41425.041250000002</c:v>
                </c:pt>
                <c:pt idx="88">
                  <c:v>41453.041250000002</c:v>
                </c:pt>
                <c:pt idx="89">
                  <c:v>41486.041250000002</c:v>
                </c:pt>
                <c:pt idx="90">
                  <c:v>41516.041250000002</c:v>
                </c:pt>
                <c:pt idx="91">
                  <c:v>41547.041250000002</c:v>
                </c:pt>
                <c:pt idx="92">
                  <c:v>41578.041250000002</c:v>
                </c:pt>
                <c:pt idx="93">
                  <c:v>41607.041250000002</c:v>
                </c:pt>
                <c:pt idx="94">
                  <c:v>41639.041250000002</c:v>
                </c:pt>
                <c:pt idx="95">
                  <c:v>41670.041250000002</c:v>
                </c:pt>
                <c:pt idx="96">
                  <c:v>41698.041250000002</c:v>
                </c:pt>
                <c:pt idx="97">
                  <c:v>41729.041250000002</c:v>
                </c:pt>
                <c:pt idx="98">
                  <c:v>41759.041250000002</c:v>
                </c:pt>
                <c:pt idx="99">
                  <c:v>41789.041250000002</c:v>
                </c:pt>
                <c:pt idx="100">
                  <c:v>41820.041250000002</c:v>
                </c:pt>
                <c:pt idx="101">
                  <c:v>41851.041250000002</c:v>
                </c:pt>
                <c:pt idx="102">
                  <c:v>41880.041250000002</c:v>
                </c:pt>
                <c:pt idx="103">
                  <c:v>41912.041250000002</c:v>
                </c:pt>
                <c:pt idx="104">
                  <c:v>41943.041250000002</c:v>
                </c:pt>
                <c:pt idx="105">
                  <c:v>41971.041250000002</c:v>
                </c:pt>
                <c:pt idx="106">
                  <c:v>42004.041250000002</c:v>
                </c:pt>
                <c:pt idx="107">
                  <c:v>42034.041250000002</c:v>
                </c:pt>
                <c:pt idx="108">
                  <c:v>42062.041250000002</c:v>
                </c:pt>
                <c:pt idx="109">
                  <c:v>42094.041250000002</c:v>
                </c:pt>
                <c:pt idx="110">
                  <c:v>42124.041250000002</c:v>
                </c:pt>
                <c:pt idx="111">
                  <c:v>42153.041250000002</c:v>
                </c:pt>
                <c:pt idx="112">
                  <c:v>42185.041250000002</c:v>
                </c:pt>
                <c:pt idx="113">
                  <c:v>42216.041250000002</c:v>
                </c:pt>
                <c:pt idx="114">
                  <c:v>42247.041250000002</c:v>
                </c:pt>
                <c:pt idx="115">
                  <c:v>42277.041250000002</c:v>
                </c:pt>
                <c:pt idx="116">
                  <c:v>42307.041250000002</c:v>
                </c:pt>
                <c:pt idx="117">
                  <c:v>42338.041250000002</c:v>
                </c:pt>
                <c:pt idx="118">
                  <c:v>42369.041250000002</c:v>
                </c:pt>
                <c:pt idx="119">
                  <c:v>42398.041250000002</c:v>
                </c:pt>
                <c:pt idx="120">
                  <c:v>42429.041250000002</c:v>
                </c:pt>
                <c:pt idx="121">
                  <c:v>42460.041250000002</c:v>
                </c:pt>
                <c:pt idx="122">
                  <c:v>42489.041250000002</c:v>
                </c:pt>
                <c:pt idx="123">
                  <c:v>42521.041250000002</c:v>
                </c:pt>
                <c:pt idx="124">
                  <c:v>42551.041250000002</c:v>
                </c:pt>
                <c:pt idx="125">
                  <c:v>42580.041250000002</c:v>
                </c:pt>
                <c:pt idx="126">
                  <c:v>42613.041250000002</c:v>
                </c:pt>
                <c:pt idx="127">
                  <c:v>42643.041250000002</c:v>
                </c:pt>
                <c:pt idx="128">
                  <c:v>42674.041250000002</c:v>
                </c:pt>
                <c:pt idx="129">
                  <c:v>42704.041250000002</c:v>
                </c:pt>
                <c:pt idx="130">
                  <c:v>42734.041250000002</c:v>
                </c:pt>
                <c:pt idx="131">
                  <c:v>42766.041250000002</c:v>
                </c:pt>
                <c:pt idx="132">
                  <c:v>42794.041250000002</c:v>
                </c:pt>
                <c:pt idx="133">
                  <c:v>42825.041250000002</c:v>
                </c:pt>
                <c:pt idx="134">
                  <c:v>42853.041250000002</c:v>
                </c:pt>
                <c:pt idx="135">
                  <c:v>42886.041250000002</c:v>
                </c:pt>
                <c:pt idx="136">
                  <c:v>42916.041250000002</c:v>
                </c:pt>
                <c:pt idx="137">
                  <c:v>42947.041250000002</c:v>
                </c:pt>
                <c:pt idx="138">
                  <c:v>42978.041250000002</c:v>
                </c:pt>
                <c:pt idx="139">
                  <c:v>43007.041250000002</c:v>
                </c:pt>
                <c:pt idx="140">
                  <c:v>43039.041250000002</c:v>
                </c:pt>
                <c:pt idx="141">
                  <c:v>43069.041250000002</c:v>
                </c:pt>
                <c:pt idx="142">
                  <c:v>43098.041250000002</c:v>
                </c:pt>
                <c:pt idx="143">
                  <c:v>43131.041250000002</c:v>
                </c:pt>
                <c:pt idx="144">
                  <c:v>43159.041250000002</c:v>
                </c:pt>
                <c:pt idx="145">
                  <c:v>43187.041250000002</c:v>
                </c:pt>
                <c:pt idx="146">
                  <c:v>43220.041250000002</c:v>
                </c:pt>
                <c:pt idx="147">
                  <c:v>43251.041250000002</c:v>
                </c:pt>
                <c:pt idx="148">
                  <c:v>43280.041250000002</c:v>
                </c:pt>
                <c:pt idx="149">
                  <c:v>43312.041250000002</c:v>
                </c:pt>
                <c:pt idx="150">
                  <c:v>43343.041250000002</c:v>
                </c:pt>
                <c:pt idx="151">
                  <c:v>43371.041250000002</c:v>
                </c:pt>
                <c:pt idx="152">
                  <c:v>43404.041250000002</c:v>
                </c:pt>
                <c:pt idx="153">
                  <c:v>43434.041250000002</c:v>
                </c:pt>
                <c:pt idx="154">
                  <c:v>43465.041250000002</c:v>
                </c:pt>
                <c:pt idx="155">
                  <c:v>43496.041250000002</c:v>
                </c:pt>
                <c:pt idx="156">
                  <c:v>43524.041250000002</c:v>
                </c:pt>
                <c:pt idx="157">
                  <c:v>43553.041250000002</c:v>
                </c:pt>
                <c:pt idx="158">
                  <c:v>43585.041250000002</c:v>
                </c:pt>
                <c:pt idx="159">
                  <c:v>43616.041250000002</c:v>
                </c:pt>
                <c:pt idx="160">
                  <c:v>43644.041250000002</c:v>
                </c:pt>
                <c:pt idx="161">
                  <c:v>43677.041250000002</c:v>
                </c:pt>
                <c:pt idx="162">
                  <c:v>43707.041250000002</c:v>
                </c:pt>
                <c:pt idx="163">
                  <c:v>43738.041250000002</c:v>
                </c:pt>
                <c:pt idx="164">
                  <c:v>43769.041250000002</c:v>
                </c:pt>
                <c:pt idx="165">
                  <c:v>43798.041250000002</c:v>
                </c:pt>
                <c:pt idx="166">
                  <c:v>43830.041250000002</c:v>
                </c:pt>
                <c:pt idx="167">
                  <c:v>43861.041250000002</c:v>
                </c:pt>
                <c:pt idx="168">
                  <c:v>43889.041250000002</c:v>
                </c:pt>
                <c:pt idx="169">
                  <c:v>43921.041250000002</c:v>
                </c:pt>
                <c:pt idx="170">
                  <c:v>43951.041250000002</c:v>
                </c:pt>
                <c:pt idx="171">
                  <c:v>43980.041250000002</c:v>
                </c:pt>
                <c:pt idx="172">
                  <c:v>44012.041250000002</c:v>
                </c:pt>
                <c:pt idx="173">
                  <c:v>44043.041250000002</c:v>
                </c:pt>
                <c:pt idx="174">
                  <c:v>44074.041250000002</c:v>
                </c:pt>
                <c:pt idx="175">
                  <c:v>44104.041250000002</c:v>
                </c:pt>
                <c:pt idx="176">
                  <c:v>44134.041250000002</c:v>
                </c:pt>
                <c:pt idx="177">
                  <c:v>44165.041250000002</c:v>
                </c:pt>
                <c:pt idx="178">
                  <c:v>44196.041250000002</c:v>
                </c:pt>
                <c:pt idx="179">
                  <c:v>44225.041250000002</c:v>
                </c:pt>
                <c:pt idx="180">
                  <c:v>44253.041250000002</c:v>
                </c:pt>
                <c:pt idx="181">
                  <c:v>44286.041250000002</c:v>
                </c:pt>
                <c:pt idx="182">
                  <c:v>44316.041250000002</c:v>
                </c:pt>
                <c:pt idx="183">
                  <c:v>44347.041250000002</c:v>
                </c:pt>
                <c:pt idx="184">
                  <c:v>44377.041250000002</c:v>
                </c:pt>
                <c:pt idx="185">
                  <c:v>44407.041250000002</c:v>
                </c:pt>
                <c:pt idx="186">
                  <c:v>44439.041250000002</c:v>
                </c:pt>
                <c:pt idx="187">
                  <c:v>44469.041250000002</c:v>
                </c:pt>
                <c:pt idx="188">
                  <c:v>44498.041250000002</c:v>
                </c:pt>
                <c:pt idx="189">
                  <c:v>44530.041250000002</c:v>
                </c:pt>
                <c:pt idx="190">
                  <c:v>44561.041250000002</c:v>
                </c:pt>
                <c:pt idx="191">
                  <c:v>44592.041250000002</c:v>
                </c:pt>
                <c:pt idx="192">
                  <c:v>44620.041250000002</c:v>
                </c:pt>
                <c:pt idx="193">
                  <c:v>44651.041250000002</c:v>
                </c:pt>
                <c:pt idx="194">
                  <c:v>44680.041250000002</c:v>
                </c:pt>
                <c:pt idx="195">
                  <c:v>44712.041250000002</c:v>
                </c:pt>
                <c:pt idx="196">
                  <c:v>44742.041250000002</c:v>
                </c:pt>
                <c:pt idx="197">
                  <c:v>44771.041250000002</c:v>
                </c:pt>
                <c:pt idx="198">
                  <c:v>44804.041250000002</c:v>
                </c:pt>
                <c:pt idx="199">
                  <c:v>44834.041250000002</c:v>
                </c:pt>
                <c:pt idx="200">
                  <c:v>44865.041250000002</c:v>
                </c:pt>
                <c:pt idx="201">
                  <c:v>44895.041250000002</c:v>
                </c:pt>
                <c:pt idx="202">
                  <c:v>44925.041250000002</c:v>
                </c:pt>
                <c:pt idx="203">
                  <c:v>44957.041250000002</c:v>
                </c:pt>
                <c:pt idx="204">
                  <c:v>44985.041250000002</c:v>
                </c:pt>
                <c:pt idx="205">
                  <c:v>45016.041250000002</c:v>
                </c:pt>
                <c:pt idx="206">
                  <c:v>45044.041250000002</c:v>
                </c:pt>
                <c:pt idx="207">
                  <c:v>45077.041250000002</c:v>
                </c:pt>
                <c:pt idx="208">
                  <c:v>45107.041250000002</c:v>
                </c:pt>
                <c:pt idx="209">
                  <c:v>45138.041250000002</c:v>
                </c:pt>
                <c:pt idx="210">
                  <c:v>45169.041250000002</c:v>
                </c:pt>
                <c:pt idx="211">
                  <c:v>45198.041250000002</c:v>
                </c:pt>
                <c:pt idx="212">
                  <c:v>45230.041250000002</c:v>
                </c:pt>
                <c:pt idx="213">
                  <c:v>45260.041250000002</c:v>
                </c:pt>
                <c:pt idx="214">
                  <c:v>45289.041250000002</c:v>
                </c:pt>
                <c:pt idx="215">
                  <c:v>45322.041250000002</c:v>
                </c:pt>
                <c:pt idx="216">
                  <c:v>45351.041250000002</c:v>
                </c:pt>
                <c:pt idx="217">
                  <c:v>45378.041250000002</c:v>
                </c:pt>
                <c:pt idx="218">
                  <c:v>45412.041250000002</c:v>
                </c:pt>
                <c:pt idx="219">
                  <c:v>45443.041250000002</c:v>
                </c:pt>
                <c:pt idx="220">
                  <c:v>45471.041250000002</c:v>
                </c:pt>
                <c:pt idx="221">
                  <c:v>45504.041250000002</c:v>
                </c:pt>
                <c:pt idx="222">
                  <c:v>45534.041250000002</c:v>
                </c:pt>
                <c:pt idx="223">
                  <c:v>45565.041250000002</c:v>
                </c:pt>
                <c:pt idx="224">
                  <c:v>45596.041250000002</c:v>
                </c:pt>
                <c:pt idx="225">
                  <c:v>45625.041250000002</c:v>
                </c:pt>
                <c:pt idx="226">
                  <c:v>45657.041250000002</c:v>
                </c:pt>
                <c:pt idx="227">
                  <c:v>45688.041250000002</c:v>
                </c:pt>
                <c:pt idx="228">
                  <c:v>45716.041250000002</c:v>
                </c:pt>
                <c:pt idx="229">
                  <c:v>45747.041250000002</c:v>
                </c:pt>
                <c:pt idx="230">
                  <c:v>45777.041250000002</c:v>
                </c:pt>
                <c:pt idx="231">
                  <c:v>45807.041250000002</c:v>
                </c:pt>
                <c:pt idx="232">
                  <c:v>45838.041250000002</c:v>
                </c:pt>
                <c:pt idx="233">
                  <c:v>45869.041250000002</c:v>
                </c:pt>
                <c:pt idx="234">
                  <c:v>45898.041250000002</c:v>
                </c:pt>
                <c:pt idx="235">
                  <c:v>45930.041250000002</c:v>
                </c:pt>
                <c:pt idx="236">
                  <c:v>45961.041250000002</c:v>
                </c:pt>
                <c:pt idx="237">
                  <c:v>45989.041250000002</c:v>
                </c:pt>
                <c:pt idx="238">
                  <c:v>46022.041250000002</c:v>
                </c:pt>
                <c:pt idx="239">
                  <c:v>46052.041250000002</c:v>
                </c:pt>
                <c:pt idx="240">
                  <c:v>46080.041250000002</c:v>
                </c:pt>
                <c:pt idx="241">
                  <c:v>46112.041250000002</c:v>
                </c:pt>
                <c:pt idx="242">
                  <c:v>46142.041250000002</c:v>
                </c:pt>
                <c:pt idx="243">
                  <c:v>46171.041250000002</c:v>
                </c:pt>
                <c:pt idx="244">
                  <c:v>46203.041250000002</c:v>
                </c:pt>
                <c:pt idx="245">
                  <c:v>46209.041250000002</c:v>
                </c:pt>
              </c:numCache>
            </c:numRef>
          </c:cat>
          <c:val>
            <c:numRef>
              <c:f>report!$J$2:$J$247</c:f>
              <c:numCache>
                <c:formatCode>##,##0.00###########</c:formatCode>
                <c:ptCount val="246"/>
                <c:pt idx="0">
                  <c:v>25.61</c:v>
                </c:pt>
                <c:pt idx="1">
                  <c:v>25.89</c:v>
                </c:pt>
                <c:pt idx="2">
                  <c:v>28.9</c:v>
                </c:pt>
                <c:pt idx="3">
                  <c:v>26.86</c:v>
                </c:pt>
                <c:pt idx="4">
                  <c:v>26.25</c:v>
                </c:pt>
                <c:pt idx="5">
                  <c:v>30.12</c:v>
                </c:pt>
                <c:pt idx="6">
                  <c:v>32</c:v>
                </c:pt>
                <c:pt idx="7">
                  <c:v>34.659999999999997</c:v>
                </c:pt>
                <c:pt idx="8">
                  <c:v>38.74</c:v>
                </c:pt>
                <c:pt idx="9">
                  <c:v>40.97</c:v>
                </c:pt>
                <c:pt idx="10">
                  <c:v>42.25</c:v>
                </c:pt>
                <c:pt idx="11">
                  <c:v>43.77</c:v>
                </c:pt>
                <c:pt idx="12">
                  <c:v>43.61</c:v>
                </c:pt>
                <c:pt idx="13">
                  <c:v>52.3</c:v>
                </c:pt>
                <c:pt idx="14">
                  <c:v>47.56</c:v>
                </c:pt>
                <c:pt idx="15">
                  <c:v>50.11</c:v>
                </c:pt>
                <c:pt idx="16">
                  <c:v>49.58</c:v>
                </c:pt>
                <c:pt idx="17">
                  <c:v>49.64</c:v>
                </c:pt>
                <c:pt idx="18">
                  <c:v>44.99</c:v>
                </c:pt>
                <c:pt idx="19">
                  <c:v>42.92</c:v>
                </c:pt>
                <c:pt idx="20">
                  <c:v>49.16</c:v>
                </c:pt>
                <c:pt idx="21">
                  <c:v>47.33</c:v>
                </c:pt>
                <c:pt idx="22">
                  <c:v>45.08</c:v>
                </c:pt>
                <c:pt idx="23">
                  <c:v>44.66</c:v>
                </c:pt>
                <c:pt idx="24">
                  <c:v>42.97</c:v>
                </c:pt>
                <c:pt idx="25">
                  <c:v>46.14</c:v>
                </c:pt>
                <c:pt idx="26">
                  <c:v>46.31</c:v>
                </c:pt>
                <c:pt idx="27">
                  <c:v>50.15</c:v>
                </c:pt>
                <c:pt idx="28">
                  <c:v>48.47</c:v>
                </c:pt>
                <c:pt idx="29">
                  <c:v>43.46</c:v>
                </c:pt>
                <c:pt idx="30">
                  <c:v>41.43</c:v>
                </c:pt>
                <c:pt idx="31">
                  <c:v>34.92</c:v>
                </c:pt>
                <c:pt idx="32">
                  <c:v>24.81</c:v>
                </c:pt>
                <c:pt idx="33">
                  <c:v>21.41</c:v>
                </c:pt>
                <c:pt idx="34">
                  <c:v>24.88</c:v>
                </c:pt>
                <c:pt idx="35">
                  <c:v>18.93</c:v>
                </c:pt>
                <c:pt idx="36">
                  <c:v>16.09</c:v>
                </c:pt>
                <c:pt idx="37">
                  <c:v>18.829999999999998</c:v>
                </c:pt>
                <c:pt idx="38">
                  <c:v>21.7</c:v>
                </c:pt>
                <c:pt idx="39">
                  <c:v>31.25</c:v>
                </c:pt>
                <c:pt idx="40">
                  <c:v>32.049999999999997</c:v>
                </c:pt>
                <c:pt idx="41">
                  <c:v>32.57</c:v>
                </c:pt>
                <c:pt idx="42">
                  <c:v>39.19</c:v>
                </c:pt>
                <c:pt idx="43">
                  <c:v>45.19</c:v>
                </c:pt>
                <c:pt idx="44">
                  <c:v>43.31</c:v>
                </c:pt>
                <c:pt idx="45">
                  <c:v>44.75</c:v>
                </c:pt>
                <c:pt idx="46">
                  <c:v>47.84</c:v>
                </c:pt>
                <c:pt idx="47">
                  <c:v>43.01</c:v>
                </c:pt>
                <c:pt idx="48">
                  <c:v>47.78</c:v>
                </c:pt>
                <c:pt idx="49">
                  <c:v>54.57</c:v>
                </c:pt>
                <c:pt idx="50">
                  <c:v>51.12</c:v>
                </c:pt>
                <c:pt idx="51">
                  <c:v>50.51</c:v>
                </c:pt>
                <c:pt idx="52">
                  <c:v>50.14</c:v>
                </c:pt>
                <c:pt idx="53">
                  <c:v>49.55</c:v>
                </c:pt>
                <c:pt idx="54">
                  <c:v>47.49</c:v>
                </c:pt>
                <c:pt idx="55">
                  <c:v>47.71</c:v>
                </c:pt>
                <c:pt idx="56">
                  <c:v>52.67</c:v>
                </c:pt>
                <c:pt idx="57">
                  <c:v>53.79</c:v>
                </c:pt>
                <c:pt idx="58">
                  <c:v>58.86</c:v>
                </c:pt>
                <c:pt idx="59">
                  <c:v>53.98</c:v>
                </c:pt>
                <c:pt idx="60">
                  <c:v>54.96</c:v>
                </c:pt>
                <c:pt idx="61">
                  <c:v>55.98</c:v>
                </c:pt>
                <c:pt idx="62">
                  <c:v>57.97</c:v>
                </c:pt>
                <c:pt idx="63">
                  <c:v>53.94</c:v>
                </c:pt>
                <c:pt idx="64">
                  <c:v>53.3</c:v>
                </c:pt>
                <c:pt idx="65">
                  <c:v>51.29</c:v>
                </c:pt>
                <c:pt idx="66">
                  <c:v>50.18</c:v>
                </c:pt>
                <c:pt idx="67">
                  <c:v>41.16</c:v>
                </c:pt>
                <c:pt idx="68">
                  <c:v>45.51</c:v>
                </c:pt>
                <c:pt idx="69">
                  <c:v>46.94</c:v>
                </c:pt>
                <c:pt idx="70">
                  <c:v>42.32</c:v>
                </c:pt>
                <c:pt idx="71">
                  <c:v>51.94</c:v>
                </c:pt>
                <c:pt idx="72">
                  <c:v>52.54</c:v>
                </c:pt>
                <c:pt idx="73">
                  <c:v>56.98</c:v>
                </c:pt>
                <c:pt idx="74">
                  <c:v>63.11</c:v>
                </c:pt>
                <c:pt idx="75">
                  <c:v>64.13</c:v>
                </c:pt>
                <c:pt idx="76">
                  <c:v>69.150000000000006</c:v>
                </c:pt>
                <c:pt idx="77">
                  <c:v>71.209999999999994</c:v>
                </c:pt>
                <c:pt idx="78">
                  <c:v>67.27</c:v>
                </c:pt>
                <c:pt idx="79">
                  <c:v>72.760000000000005</c:v>
                </c:pt>
                <c:pt idx="80">
                  <c:v>72.75</c:v>
                </c:pt>
                <c:pt idx="81">
                  <c:v>74.12</c:v>
                </c:pt>
                <c:pt idx="82">
                  <c:v>83.45</c:v>
                </c:pt>
                <c:pt idx="83">
                  <c:v>87.67</c:v>
                </c:pt>
                <c:pt idx="84">
                  <c:v>94.84</c:v>
                </c:pt>
                <c:pt idx="85">
                  <c:v>98.68</c:v>
                </c:pt>
                <c:pt idx="86">
                  <c:v>91.56</c:v>
                </c:pt>
                <c:pt idx="87">
                  <c:v>81.75</c:v>
                </c:pt>
                <c:pt idx="88">
                  <c:v>76.72</c:v>
                </c:pt>
                <c:pt idx="89">
                  <c:v>81.150000000000006</c:v>
                </c:pt>
                <c:pt idx="90">
                  <c:v>83.49</c:v>
                </c:pt>
                <c:pt idx="91">
                  <c:v>81.73</c:v>
                </c:pt>
                <c:pt idx="92">
                  <c:v>83.28</c:v>
                </c:pt>
                <c:pt idx="93">
                  <c:v>89.62</c:v>
                </c:pt>
                <c:pt idx="94">
                  <c:v>91.36</c:v>
                </c:pt>
                <c:pt idx="95">
                  <c:v>84.42</c:v>
                </c:pt>
                <c:pt idx="96">
                  <c:v>86.03</c:v>
                </c:pt>
                <c:pt idx="97">
                  <c:v>87.83</c:v>
                </c:pt>
                <c:pt idx="98">
                  <c:v>86.73</c:v>
                </c:pt>
                <c:pt idx="99">
                  <c:v>92.98</c:v>
                </c:pt>
                <c:pt idx="100">
                  <c:v>92.79</c:v>
                </c:pt>
                <c:pt idx="101">
                  <c:v>87.86</c:v>
                </c:pt>
                <c:pt idx="102">
                  <c:v>92.05</c:v>
                </c:pt>
                <c:pt idx="103">
                  <c:v>85.78</c:v>
                </c:pt>
                <c:pt idx="104">
                  <c:v>86.39</c:v>
                </c:pt>
                <c:pt idx="105">
                  <c:v>78.8</c:v>
                </c:pt>
                <c:pt idx="106">
                  <c:v>81.2</c:v>
                </c:pt>
                <c:pt idx="107">
                  <c:v>76.069999999999993</c:v>
                </c:pt>
                <c:pt idx="108">
                  <c:v>81.19</c:v>
                </c:pt>
                <c:pt idx="109">
                  <c:v>88.52</c:v>
                </c:pt>
                <c:pt idx="110">
                  <c:v>87.48</c:v>
                </c:pt>
                <c:pt idx="111">
                  <c:v>86.93</c:v>
                </c:pt>
                <c:pt idx="112">
                  <c:v>86.24</c:v>
                </c:pt>
                <c:pt idx="113">
                  <c:v>84.8</c:v>
                </c:pt>
                <c:pt idx="114">
                  <c:v>80.41</c:v>
                </c:pt>
                <c:pt idx="115">
                  <c:v>82.8</c:v>
                </c:pt>
                <c:pt idx="116">
                  <c:v>88.95</c:v>
                </c:pt>
                <c:pt idx="117">
                  <c:v>89.49</c:v>
                </c:pt>
                <c:pt idx="118">
                  <c:v>94.99</c:v>
                </c:pt>
                <c:pt idx="119">
                  <c:v>94.63</c:v>
                </c:pt>
                <c:pt idx="120">
                  <c:v>91.62</c:v>
                </c:pt>
                <c:pt idx="121">
                  <c:v>97.43</c:v>
                </c:pt>
                <c:pt idx="122">
                  <c:v>97.67</c:v>
                </c:pt>
                <c:pt idx="123">
                  <c:v>96.51</c:v>
                </c:pt>
                <c:pt idx="124">
                  <c:v>102.52</c:v>
                </c:pt>
                <c:pt idx="125">
                  <c:v>102.69</c:v>
                </c:pt>
                <c:pt idx="126">
                  <c:v>101.21</c:v>
                </c:pt>
                <c:pt idx="127">
                  <c:v>101.68</c:v>
                </c:pt>
                <c:pt idx="128">
                  <c:v>111.31</c:v>
                </c:pt>
                <c:pt idx="129">
                  <c:v>98.62</c:v>
                </c:pt>
                <c:pt idx="130">
                  <c:v>102.3</c:v>
                </c:pt>
                <c:pt idx="131">
                  <c:v>99.95</c:v>
                </c:pt>
                <c:pt idx="132">
                  <c:v>99.85</c:v>
                </c:pt>
                <c:pt idx="133">
                  <c:v>107.66</c:v>
                </c:pt>
                <c:pt idx="134">
                  <c:v>108.95</c:v>
                </c:pt>
                <c:pt idx="135">
                  <c:v>107.43</c:v>
                </c:pt>
                <c:pt idx="136">
                  <c:v>115.39</c:v>
                </c:pt>
                <c:pt idx="137">
                  <c:v>118.02</c:v>
                </c:pt>
                <c:pt idx="138">
                  <c:v>121.92</c:v>
                </c:pt>
                <c:pt idx="139">
                  <c:v>125.58</c:v>
                </c:pt>
                <c:pt idx="140">
                  <c:v>113.78</c:v>
                </c:pt>
                <c:pt idx="141">
                  <c:v>109.3</c:v>
                </c:pt>
                <c:pt idx="142">
                  <c:v>107.83</c:v>
                </c:pt>
                <c:pt idx="143">
                  <c:v>119.58</c:v>
                </c:pt>
                <c:pt idx="144">
                  <c:v>113.16</c:v>
                </c:pt>
                <c:pt idx="145">
                  <c:v>111.13</c:v>
                </c:pt>
                <c:pt idx="146">
                  <c:v>117.02</c:v>
                </c:pt>
                <c:pt idx="147">
                  <c:v>106.2</c:v>
                </c:pt>
                <c:pt idx="148">
                  <c:v>117.07</c:v>
                </c:pt>
                <c:pt idx="149">
                  <c:v>129.96</c:v>
                </c:pt>
                <c:pt idx="150">
                  <c:v>130.31</c:v>
                </c:pt>
                <c:pt idx="151">
                  <c:v>135.30000000000001</c:v>
                </c:pt>
                <c:pt idx="152">
                  <c:v>111.76</c:v>
                </c:pt>
                <c:pt idx="153">
                  <c:v>93.15</c:v>
                </c:pt>
                <c:pt idx="154">
                  <c:v>95.78</c:v>
                </c:pt>
                <c:pt idx="155">
                  <c:v>106.16</c:v>
                </c:pt>
                <c:pt idx="156">
                  <c:v>104.85</c:v>
                </c:pt>
                <c:pt idx="157">
                  <c:v>105.54</c:v>
                </c:pt>
                <c:pt idx="158">
                  <c:v>119.83</c:v>
                </c:pt>
                <c:pt idx="159">
                  <c:v>106.59</c:v>
                </c:pt>
                <c:pt idx="160">
                  <c:v>111.36</c:v>
                </c:pt>
                <c:pt idx="161">
                  <c:v>96.48</c:v>
                </c:pt>
                <c:pt idx="162">
                  <c:v>107.82</c:v>
                </c:pt>
                <c:pt idx="163">
                  <c:v>106.07</c:v>
                </c:pt>
                <c:pt idx="164">
                  <c:v>105</c:v>
                </c:pt>
                <c:pt idx="165">
                  <c:v>102.94</c:v>
                </c:pt>
                <c:pt idx="166">
                  <c:v>105.65</c:v>
                </c:pt>
                <c:pt idx="167">
                  <c:v>116.09</c:v>
                </c:pt>
                <c:pt idx="168">
                  <c:v>106.64</c:v>
                </c:pt>
                <c:pt idx="169">
                  <c:v>65</c:v>
                </c:pt>
                <c:pt idx="170">
                  <c:v>65.91</c:v>
                </c:pt>
                <c:pt idx="171">
                  <c:v>67.25</c:v>
                </c:pt>
                <c:pt idx="172">
                  <c:v>79.72</c:v>
                </c:pt>
                <c:pt idx="173">
                  <c:v>79.900000000000006</c:v>
                </c:pt>
                <c:pt idx="174">
                  <c:v>75.67</c:v>
                </c:pt>
                <c:pt idx="175">
                  <c:v>76.62</c:v>
                </c:pt>
                <c:pt idx="176">
                  <c:v>94.5</c:v>
                </c:pt>
                <c:pt idx="177">
                  <c:v>101.19</c:v>
                </c:pt>
                <c:pt idx="178">
                  <c:v>109.93</c:v>
                </c:pt>
                <c:pt idx="179">
                  <c:v>101.57</c:v>
                </c:pt>
                <c:pt idx="180">
                  <c:v>105.06</c:v>
                </c:pt>
                <c:pt idx="181">
                  <c:v>115.13</c:v>
                </c:pt>
                <c:pt idx="182">
                  <c:v>115.25</c:v>
                </c:pt>
                <c:pt idx="183">
                  <c:v>137.47999999999999</c:v>
                </c:pt>
                <c:pt idx="184">
                  <c:v>128.76</c:v>
                </c:pt>
                <c:pt idx="185">
                  <c:v>129.05000000000001</c:v>
                </c:pt>
                <c:pt idx="186">
                  <c:v>132.58000000000001</c:v>
                </c:pt>
                <c:pt idx="187">
                  <c:v>132.57</c:v>
                </c:pt>
                <c:pt idx="188">
                  <c:v>130.35</c:v>
                </c:pt>
                <c:pt idx="189">
                  <c:v>128.13</c:v>
                </c:pt>
                <c:pt idx="190">
                  <c:v>133.02000000000001</c:v>
                </c:pt>
                <c:pt idx="191">
                  <c:v>130.74</c:v>
                </c:pt>
                <c:pt idx="192">
                  <c:v>138.54</c:v>
                </c:pt>
                <c:pt idx="193">
                  <c:v>149.55000000000001</c:v>
                </c:pt>
                <c:pt idx="194">
                  <c:v>134.71</c:v>
                </c:pt>
                <c:pt idx="195">
                  <c:v>127.59</c:v>
                </c:pt>
                <c:pt idx="196">
                  <c:v>112.17</c:v>
                </c:pt>
                <c:pt idx="197">
                  <c:v>115.99</c:v>
                </c:pt>
                <c:pt idx="198">
                  <c:v>118.98</c:v>
                </c:pt>
                <c:pt idx="199">
                  <c:v>129.32</c:v>
                </c:pt>
                <c:pt idx="200">
                  <c:v>161.05000000000001</c:v>
                </c:pt>
                <c:pt idx="201">
                  <c:v>154.30000000000001</c:v>
                </c:pt>
                <c:pt idx="202">
                  <c:v>139.91</c:v>
                </c:pt>
                <c:pt idx="203">
                  <c:v>156.19</c:v>
                </c:pt>
                <c:pt idx="204">
                  <c:v>154.44</c:v>
                </c:pt>
                <c:pt idx="205">
                  <c:v>151.9</c:v>
                </c:pt>
                <c:pt idx="206">
                  <c:v>155.47999999999999</c:v>
                </c:pt>
                <c:pt idx="207">
                  <c:v>141.79</c:v>
                </c:pt>
                <c:pt idx="208">
                  <c:v>141.21</c:v>
                </c:pt>
                <c:pt idx="209">
                  <c:v>158.71</c:v>
                </c:pt>
                <c:pt idx="210">
                  <c:v>144.41999999999999</c:v>
                </c:pt>
                <c:pt idx="211">
                  <c:v>146.11000000000001</c:v>
                </c:pt>
                <c:pt idx="212">
                  <c:v>146.32</c:v>
                </c:pt>
                <c:pt idx="213">
                  <c:v>161.51</c:v>
                </c:pt>
                <c:pt idx="214">
                  <c:v>170.76</c:v>
                </c:pt>
                <c:pt idx="215">
                  <c:v>175.06</c:v>
                </c:pt>
                <c:pt idx="216">
                  <c:v>176.22</c:v>
                </c:pt>
                <c:pt idx="217">
                  <c:v>176.37</c:v>
                </c:pt>
                <c:pt idx="218">
                  <c:v>169.55</c:v>
                </c:pt>
                <c:pt idx="219">
                  <c:v>161.37</c:v>
                </c:pt>
                <c:pt idx="220">
                  <c:v>142.56</c:v>
                </c:pt>
                <c:pt idx="221">
                  <c:v>139.61000000000001</c:v>
                </c:pt>
                <c:pt idx="222">
                  <c:v>136.21</c:v>
                </c:pt>
                <c:pt idx="223">
                  <c:v>139.5</c:v>
                </c:pt>
                <c:pt idx="224">
                  <c:v>139.33000000000001</c:v>
                </c:pt>
                <c:pt idx="225">
                  <c:v>135.33000000000001</c:v>
                </c:pt>
                <c:pt idx="226">
                  <c:v>133.97</c:v>
                </c:pt>
                <c:pt idx="227">
                  <c:v>143.19999999999999</c:v>
                </c:pt>
                <c:pt idx="228">
                  <c:v>144.84</c:v>
                </c:pt>
                <c:pt idx="229">
                  <c:v>141.93</c:v>
                </c:pt>
                <c:pt idx="230">
                  <c:v>168.52</c:v>
                </c:pt>
                <c:pt idx="231">
                  <c:v>171.46</c:v>
                </c:pt>
                <c:pt idx="232">
                  <c:v>171.52</c:v>
                </c:pt>
                <c:pt idx="233">
                  <c:v>168.12</c:v>
                </c:pt>
                <c:pt idx="234">
                  <c:v>170.7</c:v>
                </c:pt>
                <c:pt idx="235">
                  <c:v>184.48</c:v>
                </c:pt>
                <c:pt idx="236">
                  <c:v>174.85</c:v>
                </c:pt>
                <c:pt idx="237">
                  <c:v>174.99</c:v>
                </c:pt>
                <c:pt idx="238">
                  <c:v>166.94</c:v>
                </c:pt>
                <c:pt idx="239">
                  <c:v>197.57</c:v>
                </c:pt>
                <c:pt idx="240">
                  <c:v>196.39</c:v>
                </c:pt>
                <c:pt idx="241">
                  <c:v>198.78</c:v>
                </c:pt>
                <c:pt idx="242">
                  <c:v>189.68</c:v>
                </c:pt>
                <c:pt idx="243">
                  <c:v>180.79</c:v>
                </c:pt>
                <c:pt idx="244">
                  <c:v>184.57</c:v>
                </c:pt>
                <c:pt idx="245">
                  <c:v>188.41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FB-4D03-9CD7-1312B0F41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9391520"/>
        <c:axId val="1929266288"/>
      </c:lineChart>
      <c:dateAx>
        <c:axId val="1899391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9266288"/>
        <c:crosses val="autoZero"/>
        <c:auto val="0"/>
        <c:lblOffset val="100"/>
        <c:baseTimeUnit val="months"/>
        <c:majorUnit val="2"/>
        <c:majorTimeUnit val="years"/>
      </c:dateAx>
      <c:valAx>
        <c:axId val="192926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Precio (MXN)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939152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GRUMA — Precio de cierre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report!$L$1</c:f>
              <c:strCache>
                <c:ptCount val="1"/>
                <c:pt idx="0">
                  <c:v>GRUMA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report!$A$2:$A$247</c:f>
              <c:numCache>
                <c:formatCode>m/d/yyyy</c:formatCode>
                <c:ptCount val="246"/>
                <c:pt idx="0">
                  <c:v>38776.041250000002</c:v>
                </c:pt>
                <c:pt idx="1">
                  <c:v>38807.041250000002</c:v>
                </c:pt>
                <c:pt idx="2">
                  <c:v>38835.041250000002</c:v>
                </c:pt>
                <c:pt idx="3">
                  <c:v>38868.041250000002</c:v>
                </c:pt>
                <c:pt idx="4">
                  <c:v>38898.041250000002</c:v>
                </c:pt>
                <c:pt idx="5">
                  <c:v>38929.041250000002</c:v>
                </c:pt>
                <c:pt idx="6">
                  <c:v>38960.041250000002</c:v>
                </c:pt>
                <c:pt idx="7">
                  <c:v>38989.041250000002</c:v>
                </c:pt>
                <c:pt idx="8">
                  <c:v>39021.041250000002</c:v>
                </c:pt>
                <c:pt idx="9">
                  <c:v>39051.041250000002</c:v>
                </c:pt>
                <c:pt idx="10">
                  <c:v>39080.041250000002</c:v>
                </c:pt>
                <c:pt idx="11">
                  <c:v>39113.041250000002</c:v>
                </c:pt>
                <c:pt idx="12">
                  <c:v>39141.041250000002</c:v>
                </c:pt>
                <c:pt idx="13">
                  <c:v>39171.041250000002</c:v>
                </c:pt>
                <c:pt idx="14">
                  <c:v>39202.041250000002</c:v>
                </c:pt>
                <c:pt idx="15">
                  <c:v>39233.041250000002</c:v>
                </c:pt>
                <c:pt idx="16">
                  <c:v>39262.041250000002</c:v>
                </c:pt>
                <c:pt idx="17">
                  <c:v>39294.041250000002</c:v>
                </c:pt>
                <c:pt idx="18">
                  <c:v>39325.041250000002</c:v>
                </c:pt>
                <c:pt idx="19">
                  <c:v>39353.041250000002</c:v>
                </c:pt>
                <c:pt idx="20">
                  <c:v>39386.041250000002</c:v>
                </c:pt>
                <c:pt idx="21">
                  <c:v>39416.041250000002</c:v>
                </c:pt>
                <c:pt idx="22">
                  <c:v>39447.041250000002</c:v>
                </c:pt>
                <c:pt idx="23">
                  <c:v>39478.041250000002</c:v>
                </c:pt>
                <c:pt idx="24">
                  <c:v>39507.041250000002</c:v>
                </c:pt>
                <c:pt idx="25">
                  <c:v>39538.041250000002</c:v>
                </c:pt>
                <c:pt idx="26">
                  <c:v>39568.041250000002</c:v>
                </c:pt>
                <c:pt idx="27">
                  <c:v>39598.041250000002</c:v>
                </c:pt>
                <c:pt idx="28">
                  <c:v>39629.041250000002</c:v>
                </c:pt>
                <c:pt idx="29">
                  <c:v>39660.041250000002</c:v>
                </c:pt>
                <c:pt idx="30">
                  <c:v>39689.041250000002</c:v>
                </c:pt>
                <c:pt idx="31">
                  <c:v>39721.041250000002</c:v>
                </c:pt>
                <c:pt idx="32">
                  <c:v>39752.041250000002</c:v>
                </c:pt>
                <c:pt idx="33">
                  <c:v>39780.041250000002</c:v>
                </c:pt>
                <c:pt idx="34">
                  <c:v>39813.041250000002</c:v>
                </c:pt>
                <c:pt idx="35">
                  <c:v>39843.041250000002</c:v>
                </c:pt>
                <c:pt idx="36">
                  <c:v>39871.041250000002</c:v>
                </c:pt>
                <c:pt idx="37">
                  <c:v>39903.041250000002</c:v>
                </c:pt>
                <c:pt idx="38">
                  <c:v>39933.041250000002</c:v>
                </c:pt>
                <c:pt idx="39">
                  <c:v>39962.041250000002</c:v>
                </c:pt>
                <c:pt idx="40">
                  <c:v>39994.041250000002</c:v>
                </c:pt>
                <c:pt idx="41">
                  <c:v>40025.041250000002</c:v>
                </c:pt>
                <c:pt idx="42">
                  <c:v>40056.041250000002</c:v>
                </c:pt>
                <c:pt idx="43">
                  <c:v>40086.041250000002</c:v>
                </c:pt>
                <c:pt idx="44">
                  <c:v>40116.041250000002</c:v>
                </c:pt>
                <c:pt idx="45">
                  <c:v>40147.041250000002</c:v>
                </c:pt>
                <c:pt idx="46">
                  <c:v>40178.041250000002</c:v>
                </c:pt>
                <c:pt idx="47">
                  <c:v>40207.041250000002</c:v>
                </c:pt>
                <c:pt idx="48">
                  <c:v>40235.041250000002</c:v>
                </c:pt>
                <c:pt idx="49">
                  <c:v>40268.041250000002</c:v>
                </c:pt>
                <c:pt idx="50">
                  <c:v>40298.041250000002</c:v>
                </c:pt>
                <c:pt idx="51">
                  <c:v>40329.041250000002</c:v>
                </c:pt>
                <c:pt idx="52">
                  <c:v>40359.041250000002</c:v>
                </c:pt>
                <c:pt idx="53">
                  <c:v>40389.041250000002</c:v>
                </c:pt>
                <c:pt idx="54">
                  <c:v>40421.041250000002</c:v>
                </c:pt>
                <c:pt idx="55">
                  <c:v>40451.041250000002</c:v>
                </c:pt>
                <c:pt idx="56">
                  <c:v>40480.041250000002</c:v>
                </c:pt>
                <c:pt idx="57">
                  <c:v>40512.041250000002</c:v>
                </c:pt>
                <c:pt idx="58">
                  <c:v>40543.041250000002</c:v>
                </c:pt>
                <c:pt idx="59">
                  <c:v>40574.041250000002</c:v>
                </c:pt>
                <c:pt idx="60">
                  <c:v>40602.041250000002</c:v>
                </c:pt>
                <c:pt idx="61">
                  <c:v>40633.041250000002</c:v>
                </c:pt>
                <c:pt idx="62">
                  <c:v>40662.041250000002</c:v>
                </c:pt>
                <c:pt idx="63">
                  <c:v>40694.041250000002</c:v>
                </c:pt>
                <c:pt idx="64">
                  <c:v>40724.041250000002</c:v>
                </c:pt>
                <c:pt idx="65">
                  <c:v>40753.041250000002</c:v>
                </c:pt>
                <c:pt idx="66">
                  <c:v>40786.041250000002</c:v>
                </c:pt>
                <c:pt idx="67">
                  <c:v>40816.041250000002</c:v>
                </c:pt>
                <c:pt idx="68">
                  <c:v>40847.041250000002</c:v>
                </c:pt>
                <c:pt idx="69">
                  <c:v>40877.041250000002</c:v>
                </c:pt>
                <c:pt idx="70">
                  <c:v>40907.041250000002</c:v>
                </c:pt>
                <c:pt idx="71">
                  <c:v>40939.041250000002</c:v>
                </c:pt>
                <c:pt idx="72">
                  <c:v>40968.041250000002</c:v>
                </c:pt>
                <c:pt idx="73">
                  <c:v>40998.041250000002</c:v>
                </c:pt>
                <c:pt idx="74">
                  <c:v>41029.041250000002</c:v>
                </c:pt>
                <c:pt idx="75">
                  <c:v>41060.041250000002</c:v>
                </c:pt>
                <c:pt idx="76">
                  <c:v>41089.041250000002</c:v>
                </c:pt>
                <c:pt idx="77">
                  <c:v>41121.041250000002</c:v>
                </c:pt>
                <c:pt idx="78">
                  <c:v>41152.041250000002</c:v>
                </c:pt>
                <c:pt idx="79">
                  <c:v>41180.041250000002</c:v>
                </c:pt>
                <c:pt idx="80">
                  <c:v>41213.041250000002</c:v>
                </c:pt>
                <c:pt idx="81">
                  <c:v>41243.041250000002</c:v>
                </c:pt>
                <c:pt idx="82">
                  <c:v>41274.041250000002</c:v>
                </c:pt>
                <c:pt idx="83">
                  <c:v>41305.041250000002</c:v>
                </c:pt>
                <c:pt idx="84">
                  <c:v>41333.041250000002</c:v>
                </c:pt>
                <c:pt idx="85">
                  <c:v>41360.041250000002</c:v>
                </c:pt>
                <c:pt idx="86">
                  <c:v>41394.041250000002</c:v>
                </c:pt>
                <c:pt idx="87">
                  <c:v>41425.041250000002</c:v>
                </c:pt>
                <c:pt idx="88">
                  <c:v>41453.041250000002</c:v>
                </c:pt>
                <c:pt idx="89">
                  <c:v>41486.041250000002</c:v>
                </c:pt>
                <c:pt idx="90">
                  <c:v>41516.041250000002</c:v>
                </c:pt>
                <c:pt idx="91">
                  <c:v>41547.041250000002</c:v>
                </c:pt>
                <c:pt idx="92">
                  <c:v>41578.041250000002</c:v>
                </c:pt>
                <c:pt idx="93">
                  <c:v>41607.041250000002</c:v>
                </c:pt>
                <c:pt idx="94">
                  <c:v>41639.041250000002</c:v>
                </c:pt>
                <c:pt idx="95">
                  <c:v>41670.041250000002</c:v>
                </c:pt>
                <c:pt idx="96">
                  <c:v>41698.041250000002</c:v>
                </c:pt>
                <c:pt idx="97">
                  <c:v>41729.041250000002</c:v>
                </c:pt>
                <c:pt idx="98">
                  <c:v>41759.041250000002</c:v>
                </c:pt>
                <c:pt idx="99">
                  <c:v>41789.041250000002</c:v>
                </c:pt>
                <c:pt idx="100">
                  <c:v>41820.041250000002</c:v>
                </c:pt>
                <c:pt idx="101">
                  <c:v>41851.041250000002</c:v>
                </c:pt>
                <c:pt idx="102">
                  <c:v>41880.041250000002</c:v>
                </c:pt>
                <c:pt idx="103">
                  <c:v>41912.041250000002</c:v>
                </c:pt>
                <c:pt idx="104">
                  <c:v>41943.041250000002</c:v>
                </c:pt>
                <c:pt idx="105">
                  <c:v>41971.041250000002</c:v>
                </c:pt>
                <c:pt idx="106">
                  <c:v>42004.041250000002</c:v>
                </c:pt>
                <c:pt idx="107">
                  <c:v>42034.041250000002</c:v>
                </c:pt>
                <c:pt idx="108">
                  <c:v>42062.041250000002</c:v>
                </c:pt>
                <c:pt idx="109">
                  <c:v>42094.041250000002</c:v>
                </c:pt>
                <c:pt idx="110">
                  <c:v>42124.041250000002</c:v>
                </c:pt>
                <c:pt idx="111">
                  <c:v>42153.041250000002</c:v>
                </c:pt>
                <c:pt idx="112">
                  <c:v>42185.041250000002</c:v>
                </c:pt>
                <c:pt idx="113">
                  <c:v>42216.041250000002</c:v>
                </c:pt>
                <c:pt idx="114">
                  <c:v>42247.041250000002</c:v>
                </c:pt>
                <c:pt idx="115">
                  <c:v>42277.041250000002</c:v>
                </c:pt>
                <c:pt idx="116">
                  <c:v>42307.041250000002</c:v>
                </c:pt>
                <c:pt idx="117">
                  <c:v>42338.041250000002</c:v>
                </c:pt>
                <c:pt idx="118">
                  <c:v>42369.041250000002</c:v>
                </c:pt>
                <c:pt idx="119">
                  <c:v>42398.041250000002</c:v>
                </c:pt>
                <c:pt idx="120">
                  <c:v>42429.041250000002</c:v>
                </c:pt>
                <c:pt idx="121">
                  <c:v>42460.041250000002</c:v>
                </c:pt>
                <c:pt idx="122">
                  <c:v>42489.041250000002</c:v>
                </c:pt>
                <c:pt idx="123">
                  <c:v>42521.041250000002</c:v>
                </c:pt>
                <c:pt idx="124">
                  <c:v>42551.041250000002</c:v>
                </c:pt>
                <c:pt idx="125">
                  <c:v>42580.041250000002</c:v>
                </c:pt>
                <c:pt idx="126">
                  <c:v>42613.041250000002</c:v>
                </c:pt>
                <c:pt idx="127">
                  <c:v>42643.041250000002</c:v>
                </c:pt>
                <c:pt idx="128">
                  <c:v>42674.041250000002</c:v>
                </c:pt>
                <c:pt idx="129">
                  <c:v>42704.041250000002</c:v>
                </c:pt>
                <c:pt idx="130">
                  <c:v>42734.041250000002</c:v>
                </c:pt>
                <c:pt idx="131">
                  <c:v>42766.041250000002</c:v>
                </c:pt>
                <c:pt idx="132">
                  <c:v>42794.041250000002</c:v>
                </c:pt>
                <c:pt idx="133">
                  <c:v>42825.041250000002</c:v>
                </c:pt>
                <c:pt idx="134">
                  <c:v>42853.041250000002</c:v>
                </c:pt>
                <c:pt idx="135">
                  <c:v>42886.041250000002</c:v>
                </c:pt>
                <c:pt idx="136">
                  <c:v>42916.041250000002</c:v>
                </c:pt>
                <c:pt idx="137">
                  <c:v>42947.041250000002</c:v>
                </c:pt>
                <c:pt idx="138">
                  <c:v>42978.041250000002</c:v>
                </c:pt>
                <c:pt idx="139">
                  <c:v>43007.041250000002</c:v>
                </c:pt>
                <c:pt idx="140">
                  <c:v>43039.041250000002</c:v>
                </c:pt>
                <c:pt idx="141">
                  <c:v>43069.041250000002</c:v>
                </c:pt>
                <c:pt idx="142">
                  <c:v>43098.041250000002</c:v>
                </c:pt>
                <c:pt idx="143">
                  <c:v>43131.041250000002</c:v>
                </c:pt>
                <c:pt idx="144">
                  <c:v>43159.041250000002</c:v>
                </c:pt>
                <c:pt idx="145">
                  <c:v>43187.041250000002</c:v>
                </c:pt>
                <c:pt idx="146">
                  <c:v>43220.041250000002</c:v>
                </c:pt>
                <c:pt idx="147">
                  <c:v>43251.041250000002</c:v>
                </c:pt>
                <c:pt idx="148">
                  <c:v>43280.041250000002</c:v>
                </c:pt>
                <c:pt idx="149">
                  <c:v>43312.041250000002</c:v>
                </c:pt>
                <c:pt idx="150">
                  <c:v>43343.041250000002</c:v>
                </c:pt>
                <c:pt idx="151">
                  <c:v>43371.041250000002</c:v>
                </c:pt>
                <c:pt idx="152">
                  <c:v>43404.041250000002</c:v>
                </c:pt>
                <c:pt idx="153">
                  <c:v>43434.041250000002</c:v>
                </c:pt>
                <c:pt idx="154">
                  <c:v>43465.041250000002</c:v>
                </c:pt>
                <c:pt idx="155">
                  <c:v>43496.041250000002</c:v>
                </c:pt>
                <c:pt idx="156">
                  <c:v>43524.041250000002</c:v>
                </c:pt>
                <c:pt idx="157">
                  <c:v>43553.041250000002</c:v>
                </c:pt>
                <c:pt idx="158">
                  <c:v>43585.041250000002</c:v>
                </c:pt>
                <c:pt idx="159">
                  <c:v>43616.041250000002</c:v>
                </c:pt>
                <c:pt idx="160">
                  <c:v>43644.041250000002</c:v>
                </c:pt>
                <c:pt idx="161">
                  <c:v>43677.041250000002</c:v>
                </c:pt>
                <c:pt idx="162">
                  <c:v>43707.041250000002</c:v>
                </c:pt>
                <c:pt idx="163">
                  <c:v>43738.041250000002</c:v>
                </c:pt>
                <c:pt idx="164">
                  <c:v>43769.041250000002</c:v>
                </c:pt>
                <c:pt idx="165">
                  <c:v>43798.041250000002</c:v>
                </c:pt>
                <c:pt idx="166">
                  <c:v>43830.041250000002</c:v>
                </c:pt>
                <c:pt idx="167">
                  <c:v>43861.041250000002</c:v>
                </c:pt>
                <c:pt idx="168">
                  <c:v>43889.041250000002</c:v>
                </c:pt>
                <c:pt idx="169">
                  <c:v>43921.041250000002</c:v>
                </c:pt>
                <c:pt idx="170">
                  <c:v>43951.041250000002</c:v>
                </c:pt>
                <c:pt idx="171">
                  <c:v>43980.041250000002</c:v>
                </c:pt>
                <c:pt idx="172">
                  <c:v>44012.041250000002</c:v>
                </c:pt>
                <c:pt idx="173">
                  <c:v>44043.041250000002</c:v>
                </c:pt>
                <c:pt idx="174">
                  <c:v>44074.041250000002</c:v>
                </c:pt>
                <c:pt idx="175">
                  <c:v>44104.041250000002</c:v>
                </c:pt>
                <c:pt idx="176">
                  <c:v>44134.041250000002</c:v>
                </c:pt>
                <c:pt idx="177">
                  <c:v>44165.041250000002</c:v>
                </c:pt>
                <c:pt idx="178">
                  <c:v>44196.041250000002</c:v>
                </c:pt>
                <c:pt idx="179">
                  <c:v>44225.041250000002</c:v>
                </c:pt>
                <c:pt idx="180">
                  <c:v>44253.041250000002</c:v>
                </c:pt>
                <c:pt idx="181">
                  <c:v>44286.041250000002</c:v>
                </c:pt>
                <c:pt idx="182">
                  <c:v>44316.041250000002</c:v>
                </c:pt>
                <c:pt idx="183">
                  <c:v>44347.041250000002</c:v>
                </c:pt>
                <c:pt idx="184">
                  <c:v>44377.041250000002</c:v>
                </c:pt>
                <c:pt idx="185">
                  <c:v>44407.041250000002</c:v>
                </c:pt>
                <c:pt idx="186">
                  <c:v>44439.041250000002</c:v>
                </c:pt>
                <c:pt idx="187">
                  <c:v>44469.041250000002</c:v>
                </c:pt>
                <c:pt idx="188">
                  <c:v>44498.041250000002</c:v>
                </c:pt>
                <c:pt idx="189">
                  <c:v>44530.041250000002</c:v>
                </c:pt>
                <c:pt idx="190">
                  <c:v>44561.041250000002</c:v>
                </c:pt>
                <c:pt idx="191">
                  <c:v>44592.041250000002</c:v>
                </c:pt>
                <c:pt idx="192">
                  <c:v>44620.041250000002</c:v>
                </c:pt>
                <c:pt idx="193">
                  <c:v>44651.041250000002</c:v>
                </c:pt>
                <c:pt idx="194">
                  <c:v>44680.041250000002</c:v>
                </c:pt>
                <c:pt idx="195">
                  <c:v>44712.041250000002</c:v>
                </c:pt>
                <c:pt idx="196">
                  <c:v>44742.041250000002</c:v>
                </c:pt>
                <c:pt idx="197">
                  <c:v>44771.041250000002</c:v>
                </c:pt>
                <c:pt idx="198">
                  <c:v>44804.041250000002</c:v>
                </c:pt>
                <c:pt idx="199">
                  <c:v>44834.041250000002</c:v>
                </c:pt>
                <c:pt idx="200">
                  <c:v>44865.041250000002</c:v>
                </c:pt>
                <c:pt idx="201">
                  <c:v>44895.041250000002</c:v>
                </c:pt>
                <c:pt idx="202">
                  <c:v>44925.041250000002</c:v>
                </c:pt>
                <c:pt idx="203">
                  <c:v>44957.041250000002</c:v>
                </c:pt>
                <c:pt idx="204">
                  <c:v>44985.041250000002</c:v>
                </c:pt>
                <c:pt idx="205">
                  <c:v>45016.041250000002</c:v>
                </c:pt>
                <c:pt idx="206">
                  <c:v>45044.041250000002</c:v>
                </c:pt>
                <c:pt idx="207">
                  <c:v>45077.041250000002</c:v>
                </c:pt>
                <c:pt idx="208">
                  <c:v>45107.041250000002</c:v>
                </c:pt>
                <c:pt idx="209">
                  <c:v>45138.041250000002</c:v>
                </c:pt>
                <c:pt idx="210">
                  <c:v>45169.041250000002</c:v>
                </c:pt>
                <c:pt idx="211">
                  <c:v>45198.041250000002</c:v>
                </c:pt>
                <c:pt idx="212">
                  <c:v>45230.041250000002</c:v>
                </c:pt>
                <c:pt idx="213">
                  <c:v>45260.041250000002</c:v>
                </c:pt>
                <c:pt idx="214">
                  <c:v>45289.041250000002</c:v>
                </c:pt>
                <c:pt idx="215">
                  <c:v>45322.041250000002</c:v>
                </c:pt>
                <c:pt idx="216">
                  <c:v>45351.041250000002</c:v>
                </c:pt>
                <c:pt idx="217">
                  <c:v>45378.041250000002</c:v>
                </c:pt>
                <c:pt idx="218">
                  <c:v>45412.041250000002</c:v>
                </c:pt>
                <c:pt idx="219">
                  <c:v>45443.041250000002</c:v>
                </c:pt>
                <c:pt idx="220">
                  <c:v>45471.041250000002</c:v>
                </c:pt>
                <c:pt idx="221">
                  <c:v>45504.041250000002</c:v>
                </c:pt>
                <c:pt idx="222">
                  <c:v>45534.041250000002</c:v>
                </c:pt>
                <c:pt idx="223">
                  <c:v>45565.041250000002</c:v>
                </c:pt>
                <c:pt idx="224">
                  <c:v>45596.041250000002</c:v>
                </c:pt>
                <c:pt idx="225">
                  <c:v>45625.041250000002</c:v>
                </c:pt>
                <c:pt idx="226">
                  <c:v>45657.041250000002</c:v>
                </c:pt>
                <c:pt idx="227">
                  <c:v>45688.041250000002</c:v>
                </c:pt>
                <c:pt idx="228">
                  <c:v>45716.041250000002</c:v>
                </c:pt>
                <c:pt idx="229">
                  <c:v>45747.041250000002</c:v>
                </c:pt>
                <c:pt idx="230">
                  <c:v>45777.041250000002</c:v>
                </c:pt>
                <c:pt idx="231">
                  <c:v>45807.041250000002</c:v>
                </c:pt>
                <c:pt idx="232">
                  <c:v>45838.041250000002</c:v>
                </c:pt>
                <c:pt idx="233">
                  <c:v>45869.041250000002</c:v>
                </c:pt>
                <c:pt idx="234">
                  <c:v>45898.041250000002</c:v>
                </c:pt>
                <c:pt idx="235">
                  <c:v>45930.041250000002</c:v>
                </c:pt>
                <c:pt idx="236">
                  <c:v>45961.041250000002</c:v>
                </c:pt>
                <c:pt idx="237">
                  <c:v>45989.041250000002</c:v>
                </c:pt>
                <c:pt idx="238">
                  <c:v>46022.041250000002</c:v>
                </c:pt>
                <c:pt idx="239">
                  <c:v>46052.041250000002</c:v>
                </c:pt>
                <c:pt idx="240">
                  <c:v>46080.041250000002</c:v>
                </c:pt>
                <c:pt idx="241">
                  <c:v>46112.041250000002</c:v>
                </c:pt>
                <c:pt idx="242">
                  <c:v>46142.041250000002</c:v>
                </c:pt>
                <c:pt idx="243">
                  <c:v>46171.041250000002</c:v>
                </c:pt>
                <c:pt idx="244">
                  <c:v>46203.041250000002</c:v>
                </c:pt>
                <c:pt idx="245">
                  <c:v>46209.041250000002</c:v>
                </c:pt>
              </c:numCache>
            </c:numRef>
          </c:cat>
          <c:val>
            <c:numRef>
              <c:f>report!$L$2:$L$247</c:f>
              <c:numCache>
                <c:formatCode>##,##0.00###########</c:formatCode>
                <c:ptCount val="246"/>
                <c:pt idx="0">
                  <c:v>33.229999999999997</c:v>
                </c:pt>
                <c:pt idx="1">
                  <c:v>31.76</c:v>
                </c:pt>
                <c:pt idx="2">
                  <c:v>34.24</c:v>
                </c:pt>
                <c:pt idx="3">
                  <c:v>27.85</c:v>
                </c:pt>
                <c:pt idx="4">
                  <c:v>30.45</c:v>
                </c:pt>
                <c:pt idx="5">
                  <c:v>32.57</c:v>
                </c:pt>
                <c:pt idx="6">
                  <c:v>32.53</c:v>
                </c:pt>
                <c:pt idx="7">
                  <c:v>33.19</c:v>
                </c:pt>
                <c:pt idx="8">
                  <c:v>34.85</c:v>
                </c:pt>
                <c:pt idx="9">
                  <c:v>36.950000000000003</c:v>
                </c:pt>
                <c:pt idx="10">
                  <c:v>38.869999999999997</c:v>
                </c:pt>
                <c:pt idx="11">
                  <c:v>32.869999999999997</c:v>
                </c:pt>
                <c:pt idx="12">
                  <c:v>34.82</c:v>
                </c:pt>
                <c:pt idx="13">
                  <c:v>34.340000000000003</c:v>
                </c:pt>
                <c:pt idx="14">
                  <c:v>36.090000000000003</c:v>
                </c:pt>
                <c:pt idx="15">
                  <c:v>37.229999999999997</c:v>
                </c:pt>
                <c:pt idx="16">
                  <c:v>35.299999999999997</c:v>
                </c:pt>
                <c:pt idx="17">
                  <c:v>39.950000000000003</c:v>
                </c:pt>
                <c:pt idx="18">
                  <c:v>39</c:v>
                </c:pt>
                <c:pt idx="19">
                  <c:v>35.04</c:v>
                </c:pt>
                <c:pt idx="20">
                  <c:v>37.770000000000003</c:v>
                </c:pt>
                <c:pt idx="21">
                  <c:v>33.770000000000003</c:v>
                </c:pt>
                <c:pt idx="22">
                  <c:v>35.85</c:v>
                </c:pt>
                <c:pt idx="23">
                  <c:v>28.88</c:v>
                </c:pt>
                <c:pt idx="24">
                  <c:v>30.13</c:v>
                </c:pt>
                <c:pt idx="25">
                  <c:v>25.08</c:v>
                </c:pt>
                <c:pt idx="26">
                  <c:v>28.89</c:v>
                </c:pt>
                <c:pt idx="27">
                  <c:v>31.02</c:v>
                </c:pt>
                <c:pt idx="28">
                  <c:v>28.22</c:v>
                </c:pt>
                <c:pt idx="29">
                  <c:v>28.67</c:v>
                </c:pt>
                <c:pt idx="30">
                  <c:v>29.05</c:v>
                </c:pt>
                <c:pt idx="31">
                  <c:v>22.1</c:v>
                </c:pt>
                <c:pt idx="32">
                  <c:v>8.3800000000000008</c:v>
                </c:pt>
                <c:pt idx="33">
                  <c:v>6.5</c:v>
                </c:pt>
                <c:pt idx="34">
                  <c:v>7</c:v>
                </c:pt>
                <c:pt idx="35">
                  <c:v>6.22</c:v>
                </c:pt>
                <c:pt idx="36">
                  <c:v>4.9000000000000004</c:v>
                </c:pt>
                <c:pt idx="37">
                  <c:v>5.31</c:v>
                </c:pt>
                <c:pt idx="38">
                  <c:v>8.3800000000000008</c:v>
                </c:pt>
                <c:pt idx="39">
                  <c:v>14.46</c:v>
                </c:pt>
                <c:pt idx="40">
                  <c:v>14.02</c:v>
                </c:pt>
                <c:pt idx="41">
                  <c:v>19.22</c:v>
                </c:pt>
                <c:pt idx="42">
                  <c:v>20.5</c:v>
                </c:pt>
                <c:pt idx="43">
                  <c:v>23.64</c:v>
                </c:pt>
                <c:pt idx="44">
                  <c:v>24.27</c:v>
                </c:pt>
                <c:pt idx="45">
                  <c:v>23.89</c:v>
                </c:pt>
                <c:pt idx="46">
                  <c:v>23.07</c:v>
                </c:pt>
                <c:pt idx="47">
                  <c:v>25.8</c:v>
                </c:pt>
                <c:pt idx="48">
                  <c:v>25.2</c:v>
                </c:pt>
                <c:pt idx="49">
                  <c:v>27.95</c:v>
                </c:pt>
                <c:pt idx="50">
                  <c:v>22.66</c:v>
                </c:pt>
                <c:pt idx="51">
                  <c:v>19.559999999999999</c:v>
                </c:pt>
                <c:pt idx="52">
                  <c:v>19.96</c:v>
                </c:pt>
                <c:pt idx="53">
                  <c:v>18.920000000000002</c:v>
                </c:pt>
                <c:pt idx="54">
                  <c:v>17.579999999999998</c:v>
                </c:pt>
                <c:pt idx="55">
                  <c:v>17.989999999999998</c:v>
                </c:pt>
                <c:pt idx="56">
                  <c:v>24.26</c:v>
                </c:pt>
                <c:pt idx="57">
                  <c:v>23.07</c:v>
                </c:pt>
                <c:pt idx="58">
                  <c:v>23.21</c:v>
                </c:pt>
                <c:pt idx="59">
                  <c:v>26.34</c:v>
                </c:pt>
                <c:pt idx="60">
                  <c:v>24.64</c:v>
                </c:pt>
                <c:pt idx="61">
                  <c:v>24.96</c:v>
                </c:pt>
                <c:pt idx="62">
                  <c:v>23.05</c:v>
                </c:pt>
                <c:pt idx="63">
                  <c:v>20.83</c:v>
                </c:pt>
                <c:pt idx="64">
                  <c:v>24.28</c:v>
                </c:pt>
                <c:pt idx="65">
                  <c:v>24.76</c:v>
                </c:pt>
                <c:pt idx="66">
                  <c:v>24.17</c:v>
                </c:pt>
                <c:pt idx="67">
                  <c:v>24.38</c:v>
                </c:pt>
                <c:pt idx="68">
                  <c:v>26.05</c:v>
                </c:pt>
                <c:pt idx="69">
                  <c:v>28.02</c:v>
                </c:pt>
                <c:pt idx="70">
                  <c:v>26.4</c:v>
                </c:pt>
                <c:pt idx="71">
                  <c:v>28.84</c:v>
                </c:pt>
                <c:pt idx="72">
                  <c:v>31.42</c:v>
                </c:pt>
                <c:pt idx="73">
                  <c:v>34.39</c:v>
                </c:pt>
                <c:pt idx="74">
                  <c:v>36.1</c:v>
                </c:pt>
                <c:pt idx="75">
                  <c:v>31.38</c:v>
                </c:pt>
                <c:pt idx="76">
                  <c:v>32.74</c:v>
                </c:pt>
                <c:pt idx="77">
                  <c:v>34.799999999999997</c:v>
                </c:pt>
                <c:pt idx="78">
                  <c:v>35.89</c:v>
                </c:pt>
                <c:pt idx="79">
                  <c:v>36.42</c:v>
                </c:pt>
                <c:pt idx="80">
                  <c:v>38.21</c:v>
                </c:pt>
                <c:pt idx="81">
                  <c:v>36.520000000000003</c:v>
                </c:pt>
                <c:pt idx="82">
                  <c:v>39.17</c:v>
                </c:pt>
                <c:pt idx="83">
                  <c:v>42.46</c:v>
                </c:pt>
                <c:pt idx="84">
                  <c:v>44.99</c:v>
                </c:pt>
                <c:pt idx="85">
                  <c:v>54.61</c:v>
                </c:pt>
                <c:pt idx="86">
                  <c:v>60.65</c:v>
                </c:pt>
                <c:pt idx="87">
                  <c:v>57.23</c:v>
                </c:pt>
                <c:pt idx="88">
                  <c:v>58.82</c:v>
                </c:pt>
                <c:pt idx="89">
                  <c:v>67.66</c:v>
                </c:pt>
                <c:pt idx="90">
                  <c:v>69.11</c:v>
                </c:pt>
                <c:pt idx="91">
                  <c:v>73.02</c:v>
                </c:pt>
                <c:pt idx="92">
                  <c:v>89.42</c:v>
                </c:pt>
                <c:pt idx="93">
                  <c:v>92</c:v>
                </c:pt>
                <c:pt idx="94">
                  <c:v>98.78</c:v>
                </c:pt>
                <c:pt idx="95">
                  <c:v>108.74</c:v>
                </c:pt>
                <c:pt idx="96">
                  <c:v>104.44</c:v>
                </c:pt>
                <c:pt idx="97">
                  <c:v>107.99</c:v>
                </c:pt>
                <c:pt idx="98">
                  <c:v>115.58</c:v>
                </c:pt>
                <c:pt idx="99">
                  <c:v>135.32</c:v>
                </c:pt>
                <c:pt idx="100">
                  <c:v>155.25</c:v>
                </c:pt>
                <c:pt idx="101">
                  <c:v>144.68</c:v>
                </c:pt>
                <c:pt idx="102">
                  <c:v>149.16999999999999</c:v>
                </c:pt>
                <c:pt idx="103">
                  <c:v>143.38</c:v>
                </c:pt>
                <c:pt idx="104">
                  <c:v>148.29</c:v>
                </c:pt>
                <c:pt idx="105">
                  <c:v>153.32</c:v>
                </c:pt>
                <c:pt idx="106">
                  <c:v>157.32</c:v>
                </c:pt>
                <c:pt idx="107">
                  <c:v>162.36000000000001</c:v>
                </c:pt>
                <c:pt idx="108">
                  <c:v>183.13</c:v>
                </c:pt>
                <c:pt idx="109">
                  <c:v>193.64</c:v>
                </c:pt>
                <c:pt idx="110">
                  <c:v>184.99</c:v>
                </c:pt>
                <c:pt idx="111">
                  <c:v>203.34</c:v>
                </c:pt>
                <c:pt idx="112">
                  <c:v>201.97</c:v>
                </c:pt>
                <c:pt idx="113">
                  <c:v>211.11</c:v>
                </c:pt>
                <c:pt idx="114">
                  <c:v>225.12</c:v>
                </c:pt>
                <c:pt idx="115">
                  <c:v>234.8</c:v>
                </c:pt>
                <c:pt idx="116">
                  <c:v>254.9</c:v>
                </c:pt>
                <c:pt idx="117">
                  <c:v>241.29</c:v>
                </c:pt>
                <c:pt idx="118">
                  <c:v>241.75</c:v>
                </c:pt>
                <c:pt idx="119">
                  <c:v>274.8</c:v>
                </c:pt>
                <c:pt idx="120">
                  <c:v>291.32</c:v>
                </c:pt>
                <c:pt idx="121">
                  <c:v>273.70999999999998</c:v>
                </c:pt>
                <c:pt idx="122">
                  <c:v>251.33</c:v>
                </c:pt>
                <c:pt idx="123">
                  <c:v>265.32</c:v>
                </c:pt>
                <c:pt idx="124">
                  <c:v>263.8</c:v>
                </c:pt>
                <c:pt idx="125">
                  <c:v>269.67</c:v>
                </c:pt>
                <c:pt idx="126">
                  <c:v>250.25</c:v>
                </c:pt>
                <c:pt idx="127">
                  <c:v>254.94</c:v>
                </c:pt>
                <c:pt idx="128">
                  <c:v>262.25</c:v>
                </c:pt>
                <c:pt idx="129">
                  <c:v>246.01</c:v>
                </c:pt>
                <c:pt idx="130">
                  <c:v>263.10000000000002</c:v>
                </c:pt>
                <c:pt idx="131">
                  <c:v>280.57</c:v>
                </c:pt>
                <c:pt idx="132">
                  <c:v>264.92</c:v>
                </c:pt>
                <c:pt idx="133">
                  <c:v>263.51</c:v>
                </c:pt>
                <c:pt idx="134">
                  <c:v>251.38</c:v>
                </c:pt>
                <c:pt idx="135">
                  <c:v>243.25</c:v>
                </c:pt>
                <c:pt idx="136">
                  <c:v>236.68</c:v>
                </c:pt>
                <c:pt idx="137">
                  <c:v>245.89</c:v>
                </c:pt>
                <c:pt idx="138">
                  <c:v>262.22000000000003</c:v>
                </c:pt>
                <c:pt idx="139">
                  <c:v>266.23</c:v>
                </c:pt>
                <c:pt idx="140">
                  <c:v>251.13</c:v>
                </c:pt>
                <c:pt idx="141">
                  <c:v>231.04</c:v>
                </c:pt>
                <c:pt idx="142">
                  <c:v>249.3</c:v>
                </c:pt>
                <c:pt idx="143">
                  <c:v>222.3</c:v>
                </c:pt>
                <c:pt idx="144">
                  <c:v>218.2</c:v>
                </c:pt>
                <c:pt idx="145">
                  <c:v>208.57</c:v>
                </c:pt>
                <c:pt idx="146">
                  <c:v>228.43</c:v>
                </c:pt>
                <c:pt idx="147">
                  <c:v>209.15</c:v>
                </c:pt>
                <c:pt idx="148">
                  <c:v>242.9</c:v>
                </c:pt>
                <c:pt idx="149">
                  <c:v>241.24</c:v>
                </c:pt>
                <c:pt idx="150">
                  <c:v>242.05</c:v>
                </c:pt>
                <c:pt idx="151">
                  <c:v>239.24</c:v>
                </c:pt>
                <c:pt idx="152">
                  <c:v>212</c:v>
                </c:pt>
                <c:pt idx="153">
                  <c:v>222.9</c:v>
                </c:pt>
                <c:pt idx="154">
                  <c:v>222.7</c:v>
                </c:pt>
                <c:pt idx="155">
                  <c:v>232.97</c:v>
                </c:pt>
                <c:pt idx="156">
                  <c:v>208.84</c:v>
                </c:pt>
                <c:pt idx="157">
                  <c:v>198.2</c:v>
                </c:pt>
                <c:pt idx="158">
                  <c:v>189.49</c:v>
                </c:pt>
                <c:pt idx="159">
                  <c:v>186.91</c:v>
                </c:pt>
                <c:pt idx="160">
                  <c:v>180.14</c:v>
                </c:pt>
                <c:pt idx="161">
                  <c:v>175.63</c:v>
                </c:pt>
                <c:pt idx="162">
                  <c:v>186.66</c:v>
                </c:pt>
                <c:pt idx="163">
                  <c:v>201.94</c:v>
                </c:pt>
                <c:pt idx="164">
                  <c:v>201.85</c:v>
                </c:pt>
                <c:pt idx="165">
                  <c:v>197</c:v>
                </c:pt>
                <c:pt idx="166">
                  <c:v>194.13</c:v>
                </c:pt>
                <c:pt idx="167">
                  <c:v>200.8</c:v>
                </c:pt>
                <c:pt idx="168">
                  <c:v>189.06</c:v>
                </c:pt>
                <c:pt idx="169">
                  <c:v>181.67</c:v>
                </c:pt>
                <c:pt idx="170">
                  <c:v>228.79</c:v>
                </c:pt>
                <c:pt idx="171">
                  <c:v>220.08</c:v>
                </c:pt>
                <c:pt idx="172">
                  <c:v>248.05</c:v>
                </c:pt>
                <c:pt idx="173">
                  <c:v>261.14999999999998</c:v>
                </c:pt>
                <c:pt idx="174">
                  <c:v>258.81</c:v>
                </c:pt>
                <c:pt idx="175">
                  <c:v>245.05</c:v>
                </c:pt>
                <c:pt idx="176">
                  <c:v>225.61</c:v>
                </c:pt>
                <c:pt idx="177">
                  <c:v>222.37</c:v>
                </c:pt>
                <c:pt idx="178">
                  <c:v>236.93</c:v>
                </c:pt>
                <c:pt idx="179">
                  <c:v>225.06</c:v>
                </c:pt>
                <c:pt idx="180">
                  <c:v>228.02</c:v>
                </c:pt>
                <c:pt idx="181">
                  <c:v>241.39</c:v>
                </c:pt>
                <c:pt idx="182">
                  <c:v>220.29</c:v>
                </c:pt>
                <c:pt idx="183">
                  <c:v>217.04</c:v>
                </c:pt>
                <c:pt idx="184">
                  <c:v>222.81</c:v>
                </c:pt>
                <c:pt idx="185">
                  <c:v>215.38</c:v>
                </c:pt>
                <c:pt idx="186">
                  <c:v>229.37</c:v>
                </c:pt>
                <c:pt idx="187">
                  <c:v>236.3</c:v>
                </c:pt>
                <c:pt idx="188">
                  <c:v>241.75</c:v>
                </c:pt>
                <c:pt idx="189">
                  <c:v>259.91000000000003</c:v>
                </c:pt>
                <c:pt idx="190">
                  <c:v>262.52</c:v>
                </c:pt>
                <c:pt idx="191">
                  <c:v>269.8</c:v>
                </c:pt>
                <c:pt idx="192">
                  <c:v>277.77</c:v>
                </c:pt>
                <c:pt idx="193">
                  <c:v>250.15</c:v>
                </c:pt>
                <c:pt idx="194">
                  <c:v>242.39</c:v>
                </c:pt>
                <c:pt idx="195">
                  <c:v>233.86</c:v>
                </c:pt>
                <c:pt idx="196">
                  <c:v>222.55</c:v>
                </c:pt>
                <c:pt idx="197">
                  <c:v>253.49</c:v>
                </c:pt>
                <c:pt idx="198">
                  <c:v>219.53</c:v>
                </c:pt>
                <c:pt idx="199">
                  <c:v>192.9</c:v>
                </c:pt>
                <c:pt idx="200">
                  <c:v>229.83</c:v>
                </c:pt>
                <c:pt idx="201">
                  <c:v>240.83</c:v>
                </c:pt>
                <c:pt idx="202">
                  <c:v>260.74</c:v>
                </c:pt>
                <c:pt idx="203">
                  <c:v>273.89</c:v>
                </c:pt>
                <c:pt idx="204">
                  <c:v>268.20999999999998</c:v>
                </c:pt>
                <c:pt idx="205">
                  <c:v>265.83999999999997</c:v>
                </c:pt>
                <c:pt idx="206">
                  <c:v>281.43</c:v>
                </c:pt>
                <c:pt idx="207">
                  <c:v>271.88</c:v>
                </c:pt>
                <c:pt idx="208">
                  <c:v>274.77999999999997</c:v>
                </c:pt>
                <c:pt idx="209">
                  <c:v>300.38</c:v>
                </c:pt>
                <c:pt idx="210">
                  <c:v>284.63</c:v>
                </c:pt>
                <c:pt idx="211">
                  <c:v>298.48</c:v>
                </c:pt>
                <c:pt idx="212">
                  <c:v>313.73</c:v>
                </c:pt>
                <c:pt idx="213">
                  <c:v>321.88</c:v>
                </c:pt>
                <c:pt idx="214">
                  <c:v>311.14</c:v>
                </c:pt>
                <c:pt idx="215">
                  <c:v>322.2</c:v>
                </c:pt>
                <c:pt idx="216">
                  <c:v>303.52999999999997</c:v>
                </c:pt>
                <c:pt idx="217">
                  <c:v>310.68</c:v>
                </c:pt>
                <c:pt idx="218">
                  <c:v>336.46</c:v>
                </c:pt>
                <c:pt idx="219">
                  <c:v>329.3</c:v>
                </c:pt>
                <c:pt idx="220">
                  <c:v>333.79</c:v>
                </c:pt>
                <c:pt idx="221">
                  <c:v>348.32</c:v>
                </c:pt>
                <c:pt idx="222">
                  <c:v>361.43</c:v>
                </c:pt>
                <c:pt idx="223">
                  <c:v>365.63</c:v>
                </c:pt>
                <c:pt idx="224">
                  <c:v>345.64</c:v>
                </c:pt>
                <c:pt idx="225">
                  <c:v>344.96</c:v>
                </c:pt>
                <c:pt idx="226">
                  <c:v>325.89999999999998</c:v>
                </c:pt>
                <c:pt idx="227">
                  <c:v>359.13</c:v>
                </c:pt>
                <c:pt idx="228">
                  <c:v>354.91</c:v>
                </c:pt>
                <c:pt idx="229">
                  <c:v>369.52</c:v>
                </c:pt>
                <c:pt idx="230">
                  <c:v>374.76</c:v>
                </c:pt>
                <c:pt idx="231">
                  <c:v>365.51</c:v>
                </c:pt>
                <c:pt idx="232">
                  <c:v>323.77</c:v>
                </c:pt>
                <c:pt idx="233">
                  <c:v>326.04000000000002</c:v>
                </c:pt>
                <c:pt idx="234">
                  <c:v>320.87</c:v>
                </c:pt>
                <c:pt idx="235">
                  <c:v>339.98</c:v>
                </c:pt>
                <c:pt idx="236">
                  <c:v>315.29000000000002</c:v>
                </c:pt>
                <c:pt idx="237">
                  <c:v>323.57</c:v>
                </c:pt>
                <c:pt idx="238">
                  <c:v>310.24</c:v>
                </c:pt>
                <c:pt idx="239">
                  <c:v>314.69</c:v>
                </c:pt>
                <c:pt idx="240">
                  <c:v>308.74</c:v>
                </c:pt>
                <c:pt idx="241">
                  <c:v>328.65</c:v>
                </c:pt>
                <c:pt idx="242">
                  <c:v>303.16000000000003</c:v>
                </c:pt>
                <c:pt idx="243">
                  <c:v>290.76</c:v>
                </c:pt>
                <c:pt idx="244">
                  <c:v>280.94</c:v>
                </c:pt>
                <c:pt idx="245">
                  <c:v>283.23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03-4616-ADDB-C40C7443F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334864"/>
        <c:axId val="1929261968"/>
      </c:lineChart>
      <c:dateAx>
        <c:axId val="8633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9261968"/>
        <c:crosses val="autoZero"/>
        <c:auto val="0"/>
        <c:lblOffset val="100"/>
        <c:baseTimeUnit val="months"/>
        <c:majorUnit val="2"/>
        <c:majorTimeUnit val="years"/>
      </c:dateAx>
      <c:valAx>
        <c:axId val="192926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Precio (MXN)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6334864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HERDEZ — Precio de cierre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report!$N$1</c:f>
              <c:strCache>
                <c:ptCount val="1"/>
                <c:pt idx="0">
                  <c:v>HERDEZ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report!$A$2:$A$247</c:f>
              <c:numCache>
                <c:formatCode>m/d/yyyy</c:formatCode>
                <c:ptCount val="246"/>
                <c:pt idx="0">
                  <c:v>38776.041250000002</c:v>
                </c:pt>
                <c:pt idx="1">
                  <c:v>38807.041250000002</c:v>
                </c:pt>
                <c:pt idx="2">
                  <c:v>38835.041250000002</c:v>
                </c:pt>
                <c:pt idx="3">
                  <c:v>38868.041250000002</c:v>
                </c:pt>
                <c:pt idx="4">
                  <c:v>38898.041250000002</c:v>
                </c:pt>
                <c:pt idx="5">
                  <c:v>38929.041250000002</c:v>
                </c:pt>
                <c:pt idx="6">
                  <c:v>38960.041250000002</c:v>
                </c:pt>
                <c:pt idx="7">
                  <c:v>38989.041250000002</c:v>
                </c:pt>
                <c:pt idx="8">
                  <c:v>39021.041250000002</c:v>
                </c:pt>
                <c:pt idx="9">
                  <c:v>39051.041250000002</c:v>
                </c:pt>
                <c:pt idx="10">
                  <c:v>39080.041250000002</c:v>
                </c:pt>
                <c:pt idx="11">
                  <c:v>39113.041250000002</c:v>
                </c:pt>
                <c:pt idx="12">
                  <c:v>39141.041250000002</c:v>
                </c:pt>
                <c:pt idx="13">
                  <c:v>39171.041250000002</c:v>
                </c:pt>
                <c:pt idx="14">
                  <c:v>39202.041250000002</c:v>
                </c:pt>
                <c:pt idx="15">
                  <c:v>39233.041250000002</c:v>
                </c:pt>
                <c:pt idx="16">
                  <c:v>39262.041250000002</c:v>
                </c:pt>
                <c:pt idx="17">
                  <c:v>39294.041250000002</c:v>
                </c:pt>
                <c:pt idx="18">
                  <c:v>39325.041250000002</c:v>
                </c:pt>
                <c:pt idx="19">
                  <c:v>39353.041250000002</c:v>
                </c:pt>
                <c:pt idx="20">
                  <c:v>39386.041250000002</c:v>
                </c:pt>
                <c:pt idx="21">
                  <c:v>39416.041250000002</c:v>
                </c:pt>
                <c:pt idx="22">
                  <c:v>39447.041250000002</c:v>
                </c:pt>
                <c:pt idx="23">
                  <c:v>39478.041250000002</c:v>
                </c:pt>
                <c:pt idx="24">
                  <c:v>39507.041250000002</c:v>
                </c:pt>
                <c:pt idx="25">
                  <c:v>39538.041250000002</c:v>
                </c:pt>
                <c:pt idx="26">
                  <c:v>39568.041250000002</c:v>
                </c:pt>
                <c:pt idx="27">
                  <c:v>39598.041250000002</c:v>
                </c:pt>
                <c:pt idx="28">
                  <c:v>39629.041250000002</c:v>
                </c:pt>
                <c:pt idx="29">
                  <c:v>39660.041250000002</c:v>
                </c:pt>
                <c:pt idx="30">
                  <c:v>39689.041250000002</c:v>
                </c:pt>
                <c:pt idx="31">
                  <c:v>39721.041250000002</c:v>
                </c:pt>
                <c:pt idx="32">
                  <c:v>39752.041250000002</c:v>
                </c:pt>
                <c:pt idx="33">
                  <c:v>39780.041250000002</c:v>
                </c:pt>
                <c:pt idx="34">
                  <c:v>39813.041250000002</c:v>
                </c:pt>
                <c:pt idx="35">
                  <c:v>39843.041250000002</c:v>
                </c:pt>
                <c:pt idx="36">
                  <c:v>39871.041250000002</c:v>
                </c:pt>
                <c:pt idx="37">
                  <c:v>39903.041250000002</c:v>
                </c:pt>
                <c:pt idx="38">
                  <c:v>39933.041250000002</c:v>
                </c:pt>
                <c:pt idx="39">
                  <c:v>39962.041250000002</c:v>
                </c:pt>
                <c:pt idx="40">
                  <c:v>39994.041250000002</c:v>
                </c:pt>
                <c:pt idx="41">
                  <c:v>40025.041250000002</c:v>
                </c:pt>
                <c:pt idx="42">
                  <c:v>40056.041250000002</c:v>
                </c:pt>
                <c:pt idx="43">
                  <c:v>40086.041250000002</c:v>
                </c:pt>
                <c:pt idx="44">
                  <c:v>40116.041250000002</c:v>
                </c:pt>
                <c:pt idx="45">
                  <c:v>40147.041250000002</c:v>
                </c:pt>
                <c:pt idx="46">
                  <c:v>40178.041250000002</c:v>
                </c:pt>
                <c:pt idx="47">
                  <c:v>40207.041250000002</c:v>
                </c:pt>
                <c:pt idx="48">
                  <c:v>40235.041250000002</c:v>
                </c:pt>
                <c:pt idx="49">
                  <c:v>40268.041250000002</c:v>
                </c:pt>
                <c:pt idx="50">
                  <c:v>40298.041250000002</c:v>
                </c:pt>
                <c:pt idx="51">
                  <c:v>40329.041250000002</c:v>
                </c:pt>
                <c:pt idx="52">
                  <c:v>40359.041250000002</c:v>
                </c:pt>
                <c:pt idx="53">
                  <c:v>40389.041250000002</c:v>
                </c:pt>
                <c:pt idx="54">
                  <c:v>40421.041250000002</c:v>
                </c:pt>
                <c:pt idx="55">
                  <c:v>40451.041250000002</c:v>
                </c:pt>
                <c:pt idx="56">
                  <c:v>40480.041250000002</c:v>
                </c:pt>
                <c:pt idx="57">
                  <c:v>40512.041250000002</c:v>
                </c:pt>
                <c:pt idx="58">
                  <c:v>40543.041250000002</c:v>
                </c:pt>
                <c:pt idx="59">
                  <c:v>40574.041250000002</c:v>
                </c:pt>
                <c:pt idx="60">
                  <c:v>40602.041250000002</c:v>
                </c:pt>
                <c:pt idx="61">
                  <c:v>40633.041250000002</c:v>
                </c:pt>
                <c:pt idx="62">
                  <c:v>40662.041250000002</c:v>
                </c:pt>
                <c:pt idx="63">
                  <c:v>40694.041250000002</c:v>
                </c:pt>
                <c:pt idx="64">
                  <c:v>40724.041250000002</c:v>
                </c:pt>
                <c:pt idx="65">
                  <c:v>40753.041250000002</c:v>
                </c:pt>
                <c:pt idx="66">
                  <c:v>40786.041250000002</c:v>
                </c:pt>
                <c:pt idx="67">
                  <c:v>40816.041250000002</c:v>
                </c:pt>
                <c:pt idx="68">
                  <c:v>40847.041250000002</c:v>
                </c:pt>
                <c:pt idx="69">
                  <c:v>40877.041250000002</c:v>
                </c:pt>
                <c:pt idx="70">
                  <c:v>40907.041250000002</c:v>
                </c:pt>
                <c:pt idx="71">
                  <c:v>40939.041250000002</c:v>
                </c:pt>
                <c:pt idx="72">
                  <c:v>40968.041250000002</c:v>
                </c:pt>
                <c:pt idx="73">
                  <c:v>40998.041250000002</c:v>
                </c:pt>
                <c:pt idx="74">
                  <c:v>41029.041250000002</c:v>
                </c:pt>
                <c:pt idx="75">
                  <c:v>41060.041250000002</c:v>
                </c:pt>
                <c:pt idx="76">
                  <c:v>41089.041250000002</c:v>
                </c:pt>
                <c:pt idx="77">
                  <c:v>41121.041250000002</c:v>
                </c:pt>
                <c:pt idx="78">
                  <c:v>41152.041250000002</c:v>
                </c:pt>
                <c:pt idx="79">
                  <c:v>41180.041250000002</c:v>
                </c:pt>
                <c:pt idx="80">
                  <c:v>41213.041250000002</c:v>
                </c:pt>
                <c:pt idx="81">
                  <c:v>41243.041250000002</c:v>
                </c:pt>
                <c:pt idx="82">
                  <c:v>41274.041250000002</c:v>
                </c:pt>
                <c:pt idx="83">
                  <c:v>41305.041250000002</c:v>
                </c:pt>
                <c:pt idx="84">
                  <c:v>41333.041250000002</c:v>
                </c:pt>
                <c:pt idx="85">
                  <c:v>41360.041250000002</c:v>
                </c:pt>
                <c:pt idx="86">
                  <c:v>41394.041250000002</c:v>
                </c:pt>
                <c:pt idx="87">
                  <c:v>41425.041250000002</c:v>
                </c:pt>
                <c:pt idx="88">
                  <c:v>41453.041250000002</c:v>
                </c:pt>
                <c:pt idx="89">
                  <c:v>41486.041250000002</c:v>
                </c:pt>
                <c:pt idx="90">
                  <c:v>41516.041250000002</c:v>
                </c:pt>
                <c:pt idx="91">
                  <c:v>41547.041250000002</c:v>
                </c:pt>
                <c:pt idx="92">
                  <c:v>41578.041250000002</c:v>
                </c:pt>
                <c:pt idx="93">
                  <c:v>41607.041250000002</c:v>
                </c:pt>
                <c:pt idx="94">
                  <c:v>41639.041250000002</c:v>
                </c:pt>
                <c:pt idx="95">
                  <c:v>41670.041250000002</c:v>
                </c:pt>
                <c:pt idx="96">
                  <c:v>41698.041250000002</c:v>
                </c:pt>
                <c:pt idx="97">
                  <c:v>41729.041250000002</c:v>
                </c:pt>
                <c:pt idx="98">
                  <c:v>41759.041250000002</c:v>
                </c:pt>
                <c:pt idx="99">
                  <c:v>41789.041250000002</c:v>
                </c:pt>
                <c:pt idx="100">
                  <c:v>41820.041250000002</c:v>
                </c:pt>
                <c:pt idx="101">
                  <c:v>41851.041250000002</c:v>
                </c:pt>
                <c:pt idx="102">
                  <c:v>41880.041250000002</c:v>
                </c:pt>
                <c:pt idx="103">
                  <c:v>41912.041250000002</c:v>
                </c:pt>
                <c:pt idx="104">
                  <c:v>41943.041250000002</c:v>
                </c:pt>
                <c:pt idx="105">
                  <c:v>41971.041250000002</c:v>
                </c:pt>
                <c:pt idx="106">
                  <c:v>42004.041250000002</c:v>
                </c:pt>
                <c:pt idx="107">
                  <c:v>42034.041250000002</c:v>
                </c:pt>
                <c:pt idx="108">
                  <c:v>42062.041250000002</c:v>
                </c:pt>
                <c:pt idx="109">
                  <c:v>42094.041250000002</c:v>
                </c:pt>
                <c:pt idx="110">
                  <c:v>42124.041250000002</c:v>
                </c:pt>
                <c:pt idx="111">
                  <c:v>42153.041250000002</c:v>
                </c:pt>
                <c:pt idx="112">
                  <c:v>42185.041250000002</c:v>
                </c:pt>
                <c:pt idx="113">
                  <c:v>42216.041250000002</c:v>
                </c:pt>
                <c:pt idx="114">
                  <c:v>42247.041250000002</c:v>
                </c:pt>
                <c:pt idx="115">
                  <c:v>42277.041250000002</c:v>
                </c:pt>
                <c:pt idx="116">
                  <c:v>42307.041250000002</c:v>
                </c:pt>
                <c:pt idx="117">
                  <c:v>42338.041250000002</c:v>
                </c:pt>
                <c:pt idx="118">
                  <c:v>42369.041250000002</c:v>
                </c:pt>
                <c:pt idx="119">
                  <c:v>42398.041250000002</c:v>
                </c:pt>
                <c:pt idx="120">
                  <c:v>42429.041250000002</c:v>
                </c:pt>
                <c:pt idx="121">
                  <c:v>42460.041250000002</c:v>
                </c:pt>
                <c:pt idx="122">
                  <c:v>42489.041250000002</c:v>
                </c:pt>
                <c:pt idx="123">
                  <c:v>42521.041250000002</c:v>
                </c:pt>
                <c:pt idx="124">
                  <c:v>42551.041250000002</c:v>
                </c:pt>
                <c:pt idx="125">
                  <c:v>42580.041250000002</c:v>
                </c:pt>
                <c:pt idx="126">
                  <c:v>42613.041250000002</c:v>
                </c:pt>
                <c:pt idx="127">
                  <c:v>42643.041250000002</c:v>
                </c:pt>
                <c:pt idx="128">
                  <c:v>42674.041250000002</c:v>
                </c:pt>
                <c:pt idx="129">
                  <c:v>42704.041250000002</c:v>
                </c:pt>
                <c:pt idx="130">
                  <c:v>42734.041250000002</c:v>
                </c:pt>
                <c:pt idx="131">
                  <c:v>42766.041250000002</c:v>
                </c:pt>
                <c:pt idx="132">
                  <c:v>42794.041250000002</c:v>
                </c:pt>
                <c:pt idx="133">
                  <c:v>42825.041250000002</c:v>
                </c:pt>
                <c:pt idx="134">
                  <c:v>42853.041250000002</c:v>
                </c:pt>
                <c:pt idx="135">
                  <c:v>42886.041250000002</c:v>
                </c:pt>
                <c:pt idx="136">
                  <c:v>42916.041250000002</c:v>
                </c:pt>
                <c:pt idx="137">
                  <c:v>42947.041250000002</c:v>
                </c:pt>
                <c:pt idx="138">
                  <c:v>42978.041250000002</c:v>
                </c:pt>
                <c:pt idx="139">
                  <c:v>43007.041250000002</c:v>
                </c:pt>
                <c:pt idx="140">
                  <c:v>43039.041250000002</c:v>
                </c:pt>
                <c:pt idx="141">
                  <c:v>43069.041250000002</c:v>
                </c:pt>
                <c:pt idx="142">
                  <c:v>43098.041250000002</c:v>
                </c:pt>
                <c:pt idx="143">
                  <c:v>43131.041250000002</c:v>
                </c:pt>
                <c:pt idx="144">
                  <c:v>43159.041250000002</c:v>
                </c:pt>
                <c:pt idx="145">
                  <c:v>43187.041250000002</c:v>
                </c:pt>
                <c:pt idx="146">
                  <c:v>43220.041250000002</c:v>
                </c:pt>
                <c:pt idx="147">
                  <c:v>43251.041250000002</c:v>
                </c:pt>
                <c:pt idx="148">
                  <c:v>43280.041250000002</c:v>
                </c:pt>
                <c:pt idx="149">
                  <c:v>43312.041250000002</c:v>
                </c:pt>
                <c:pt idx="150">
                  <c:v>43343.041250000002</c:v>
                </c:pt>
                <c:pt idx="151">
                  <c:v>43371.041250000002</c:v>
                </c:pt>
                <c:pt idx="152">
                  <c:v>43404.041250000002</c:v>
                </c:pt>
                <c:pt idx="153">
                  <c:v>43434.041250000002</c:v>
                </c:pt>
                <c:pt idx="154">
                  <c:v>43465.041250000002</c:v>
                </c:pt>
                <c:pt idx="155">
                  <c:v>43496.041250000002</c:v>
                </c:pt>
                <c:pt idx="156">
                  <c:v>43524.041250000002</c:v>
                </c:pt>
                <c:pt idx="157">
                  <c:v>43553.041250000002</c:v>
                </c:pt>
                <c:pt idx="158">
                  <c:v>43585.041250000002</c:v>
                </c:pt>
                <c:pt idx="159">
                  <c:v>43616.041250000002</c:v>
                </c:pt>
                <c:pt idx="160">
                  <c:v>43644.041250000002</c:v>
                </c:pt>
                <c:pt idx="161">
                  <c:v>43677.041250000002</c:v>
                </c:pt>
                <c:pt idx="162">
                  <c:v>43707.041250000002</c:v>
                </c:pt>
                <c:pt idx="163">
                  <c:v>43738.041250000002</c:v>
                </c:pt>
                <c:pt idx="164">
                  <c:v>43769.041250000002</c:v>
                </c:pt>
                <c:pt idx="165">
                  <c:v>43798.041250000002</c:v>
                </c:pt>
                <c:pt idx="166">
                  <c:v>43830.041250000002</c:v>
                </c:pt>
                <c:pt idx="167">
                  <c:v>43861.041250000002</c:v>
                </c:pt>
                <c:pt idx="168">
                  <c:v>43889.041250000002</c:v>
                </c:pt>
                <c:pt idx="169">
                  <c:v>43921.041250000002</c:v>
                </c:pt>
                <c:pt idx="170">
                  <c:v>43951.041250000002</c:v>
                </c:pt>
                <c:pt idx="171">
                  <c:v>43980.041250000002</c:v>
                </c:pt>
                <c:pt idx="172">
                  <c:v>44012.041250000002</c:v>
                </c:pt>
                <c:pt idx="173">
                  <c:v>44043.041250000002</c:v>
                </c:pt>
                <c:pt idx="174">
                  <c:v>44074.041250000002</c:v>
                </c:pt>
                <c:pt idx="175">
                  <c:v>44104.041250000002</c:v>
                </c:pt>
                <c:pt idx="176">
                  <c:v>44134.041250000002</c:v>
                </c:pt>
                <c:pt idx="177">
                  <c:v>44165.041250000002</c:v>
                </c:pt>
                <c:pt idx="178">
                  <c:v>44196.041250000002</c:v>
                </c:pt>
                <c:pt idx="179">
                  <c:v>44225.041250000002</c:v>
                </c:pt>
                <c:pt idx="180">
                  <c:v>44253.041250000002</c:v>
                </c:pt>
                <c:pt idx="181">
                  <c:v>44286.041250000002</c:v>
                </c:pt>
                <c:pt idx="182">
                  <c:v>44316.041250000002</c:v>
                </c:pt>
                <c:pt idx="183">
                  <c:v>44347.041250000002</c:v>
                </c:pt>
                <c:pt idx="184">
                  <c:v>44377.041250000002</c:v>
                </c:pt>
                <c:pt idx="185">
                  <c:v>44407.041250000002</c:v>
                </c:pt>
                <c:pt idx="186">
                  <c:v>44439.041250000002</c:v>
                </c:pt>
                <c:pt idx="187">
                  <c:v>44469.041250000002</c:v>
                </c:pt>
                <c:pt idx="188">
                  <c:v>44498.041250000002</c:v>
                </c:pt>
                <c:pt idx="189">
                  <c:v>44530.041250000002</c:v>
                </c:pt>
                <c:pt idx="190">
                  <c:v>44561.041250000002</c:v>
                </c:pt>
                <c:pt idx="191">
                  <c:v>44592.041250000002</c:v>
                </c:pt>
                <c:pt idx="192">
                  <c:v>44620.041250000002</c:v>
                </c:pt>
                <c:pt idx="193">
                  <c:v>44651.041250000002</c:v>
                </c:pt>
                <c:pt idx="194">
                  <c:v>44680.041250000002</c:v>
                </c:pt>
                <c:pt idx="195">
                  <c:v>44712.041250000002</c:v>
                </c:pt>
                <c:pt idx="196">
                  <c:v>44742.041250000002</c:v>
                </c:pt>
                <c:pt idx="197">
                  <c:v>44771.041250000002</c:v>
                </c:pt>
                <c:pt idx="198">
                  <c:v>44804.041250000002</c:v>
                </c:pt>
                <c:pt idx="199">
                  <c:v>44834.041250000002</c:v>
                </c:pt>
                <c:pt idx="200">
                  <c:v>44865.041250000002</c:v>
                </c:pt>
                <c:pt idx="201">
                  <c:v>44895.041250000002</c:v>
                </c:pt>
                <c:pt idx="202">
                  <c:v>44925.041250000002</c:v>
                </c:pt>
                <c:pt idx="203">
                  <c:v>44957.041250000002</c:v>
                </c:pt>
                <c:pt idx="204">
                  <c:v>44985.041250000002</c:v>
                </c:pt>
                <c:pt idx="205">
                  <c:v>45016.041250000002</c:v>
                </c:pt>
                <c:pt idx="206">
                  <c:v>45044.041250000002</c:v>
                </c:pt>
                <c:pt idx="207">
                  <c:v>45077.041250000002</c:v>
                </c:pt>
                <c:pt idx="208">
                  <c:v>45107.041250000002</c:v>
                </c:pt>
                <c:pt idx="209">
                  <c:v>45138.041250000002</c:v>
                </c:pt>
                <c:pt idx="210">
                  <c:v>45169.041250000002</c:v>
                </c:pt>
                <c:pt idx="211">
                  <c:v>45198.041250000002</c:v>
                </c:pt>
                <c:pt idx="212">
                  <c:v>45230.041250000002</c:v>
                </c:pt>
                <c:pt idx="213">
                  <c:v>45260.041250000002</c:v>
                </c:pt>
                <c:pt idx="214">
                  <c:v>45289.041250000002</c:v>
                </c:pt>
                <c:pt idx="215">
                  <c:v>45322.041250000002</c:v>
                </c:pt>
                <c:pt idx="216">
                  <c:v>45351.041250000002</c:v>
                </c:pt>
                <c:pt idx="217">
                  <c:v>45378.041250000002</c:v>
                </c:pt>
                <c:pt idx="218">
                  <c:v>45412.041250000002</c:v>
                </c:pt>
                <c:pt idx="219">
                  <c:v>45443.041250000002</c:v>
                </c:pt>
                <c:pt idx="220">
                  <c:v>45471.041250000002</c:v>
                </c:pt>
                <c:pt idx="221">
                  <c:v>45504.041250000002</c:v>
                </c:pt>
                <c:pt idx="222">
                  <c:v>45534.041250000002</c:v>
                </c:pt>
                <c:pt idx="223">
                  <c:v>45565.041250000002</c:v>
                </c:pt>
                <c:pt idx="224">
                  <c:v>45596.041250000002</c:v>
                </c:pt>
                <c:pt idx="225">
                  <c:v>45625.041250000002</c:v>
                </c:pt>
                <c:pt idx="226">
                  <c:v>45657.041250000002</c:v>
                </c:pt>
                <c:pt idx="227">
                  <c:v>45688.041250000002</c:v>
                </c:pt>
                <c:pt idx="228">
                  <c:v>45716.041250000002</c:v>
                </c:pt>
                <c:pt idx="229">
                  <c:v>45747.041250000002</c:v>
                </c:pt>
                <c:pt idx="230">
                  <c:v>45777.041250000002</c:v>
                </c:pt>
                <c:pt idx="231">
                  <c:v>45807.041250000002</c:v>
                </c:pt>
                <c:pt idx="232">
                  <c:v>45838.041250000002</c:v>
                </c:pt>
                <c:pt idx="233">
                  <c:v>45869.041250000002</c:v>
                </c:pt>
                <c:pt idx="234">
                  <c:v>45898.041250000002</c:v>
                </c:pt>
                <c:pt idx="235">
                  <c:v>45930.041250000002</c:v>
                </c:pt>
                <c:pt idx="236">
                  <c:v>45961.041250000002</c:v>
                </c:pt>
                <c:pt idx="237">
                  <c:v>45989.041250000002</c:v>
                </c:pt>
                <c:pt idx="238">
                  <c:v>46022.041250000002</c:v>
                </c:pt>
                <c:pt idx="239">
                  <c:v>46052.041250000002</c:v>
                </c:pt>
                <c:pt idx="240">
                  <c:v>46080.041250000002</c:v>
                </c:pt>
                <c:pt idx="241">
                  <c:v>46112.041250000002</c:v>
                </c:pt>
                <c:pt idx="242">
                  <c:v>46142.041250000002</c:v>
                </c:pt>
                <c:pt idx="243">
                  <c:v>46171.041250000002</c:v>
                </c:pt>
                <c:pt idx="244">
                  <c:v>46203.041250000002</c:v>
                </c:pt>
                <c:pt idx="245">
                  <c:v>46209.041250000002</c:v>
                </c:pt>
              </c:numCache>
            </c:numRef>
          </c:cat>
          <c:val>
            <c:numRef>
              <c:f>report!$N$2:$N$247</c:f>
              <c:numCache>
                <c:formatCode>##,##0.00###########</c:formatCode>
                <c:ptCount val="246"/>
                <c:pt idx="0">
                  <c:v>7.85</c:v>
                </c:pt>
                <c:pt idx="1">
                  <c:v>8.41</c:v>
                </c:pt>
                <c:pt idx="2">
                  <c:v>9.6</c:v>
                </c:pt>
                <c:pt idx="3">
                  <c:v>9.3000000000000007</c:v>
                </c:pt>
                <c:pt idx="4">
                  <c:v>9.17</c:v>
                </c:pt>
                <c:pt idx="5">
                  <c:v>7.91</c:v>
                </c:pt>
                <c:pt idx="6">
                  <c:v>7.7</c:v>
                </c:pt>
                <c:pt idx="7">
                  <c:v>7.9</c:v>
                </c:pt>
                <c:pt idx="8">
                  <c:v>8.3000000000000007</c:v>
                </c:pt>
                <c:pt idx="9">
                  <c:v>9.4</c:v>
                </c:pt>
                <c:pt idx="10">
                  <c:v>10.3</c:v>
                </c:pt>
                <c:pt idx="11">
                  <c:v>10</c:v>
                </c:pt>
                <c:pt idx="12">
                  <c:v>11.4</c:v>
                </c:pt>
                <c:pt idx="13">
                  <c:v>11.4</c:v>
                </c:pt>
                <c:pt idx="14">
                  <c:v>11.97</c:v>
                </c:pt>
                <c:pt idx="15">
                  <c:v>12</c:v>
                </c:pt>
                <c:pt idx="16">
                  <c:v>12.5</c:v>
                </c:pt>
                <c:pt idx="17">
                  <c:v>14.55</c:v>
                </c:pt>
                <c:pt idx="18">
                  <c:v>14.2</c:v>
                </c:pt>
                <c:pt idx="19">
                  <c:v>14</c:v>
                </c:pt>
                <c:pt idx="20">
                  <c:v>14.65</c:v>
                </c:pt>
                <c:pt idx="21">
                  <c:v>14.65</c:v>
                </c:pt>
                <c:pt idx="22">
                  <c:v>15.2</c:v>
                </c:pt>
                <c:pt idx="23">
                  <c:v>15.2</c:v>
                </c:pt>
                <c:pt idx="24">
                  <c:v>16</c:v>
                </c:pt>
                <c:pt idx="25">
                  <c:v>15.8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14.5</c:v>
                </c:pt>
                <c:pt idx="30">
                  <c:v>14</c:v>
                </c:pt>
                <c:pt idx="31">
                  <c:v>14</c:v>
                </c:pt>
                <c:pt idx="32">
                  <c:v>12</c:v>
                </c:pt>
                <c:pt idx="33">
                  <c:v>12.5</c:v>
                </c:pt>
                <c:pt idx="34">
                  <c:v>12.5</c:v>
                </c:pt>
                <c:pt idx="35">
                  <c:v>12.3</c:v>
                </c:pt>
                <c:pt idx="36">
                  <c:v>11.85</c:v>
                </c:pt>
                <c:pt idx="37">
                  <c:v>13</c:v>
                </c:pt>
                <c:pt idx="38">
                  <c:v>13.5</c:v>
                </c:pt>
                <c:pt idx="39">
                  <c:v>13</c:v>
                </c:pt>
                <c:pt idx="40">
                  <c:v>14.4</c:v>
                </c:pt>
                <c:pt idx="41">
                  <c:v>15.43</c:v>
                </c:pt>
                <c:pt idx="42">
                  <c:v>16</c:v>
                </c:pt>
                <c:pt idx="43">
                  <c:v>16</c:v>
                </c:pt>
                <c:pt idx="44">
                  <c:v>16.149999999999999</c:v>
                </c:pt>
                <c:pt idx="45">
                  <c:v>16</c:v>
                </c:pt>
                <c:pt idx="46">
                  <c:v>17.5</c:v>
                </c:pt>
                <c:pt idx="47">
                  <c:v>19</c:v>
                </c:pt>
                <c:pt idx="48">
                  <c:v>17.55</c:v>
                </c:pt>
                <c:pt idx="49">
                  <c:v>17.12</c:v>
                </c:pt>
                <c:pt idx="50">
                  <c:v>18.27</c:v>
                </c:pt>
                <c:pt idx="51">
                  <c:v>17.93</c:v>
                </c:pt>
                <c:pt idx="52">
                  <c:v>17.5</c:v>
                </c:pt>
                <c:pt idx="53">
                  <c:v>17.8</c:v>
                </c:pt>
                <c:pt idx="54">
                  <c:v>17.8</c:v>
                </c:pt>
                <c:pt idx="55">
                  <c:v>18.5</c:v>
                </c:pt>
                <c:pt idx="56">
                  <c:v>19.100000000000001</c:v>
                </c:pt>
                <c:pt idx="57">
                  <c:v>20.91</c:v>
                </c:pt>
                <c:pt idx="58">
                  <c:v>22.13</c:v>
                </c:pt>
                <c:pt idx="59">
                  <c:v>22.19</c:v>
                </c:pt>
                <c:pt idx="60">
                  <c:v>23.49</c:v>
                </c:pt>
                <c:pt idx="61">
                  <c:v>23.88</c:v>
                </c:pt>
                <c:pt idx="62">
                  <c:v>25.05</c:v>
                </c:pt>
                <c:pt idx="63">
                  <c:v>24.95</c:v>
                </c:pt>
                <c:pt idx="64">
                  <c:v>25.17</c:v>
                </c:pt>
                <c:pt idx="65">
                  <c:v>25.2</c:v>
                </c:pt>
                <c:pt idx="66">
                  <c:v>24.31</c:v>
                </c:pt>
                <c:pt idx="67">
                  <c:v>24.44</c:v>
                </c:pt>
                <c:pt idx="68">
                  <c:v>24.47</c:v>
                </c:pt>
                <c:pt idx="69">
                  <c:v>24.77</c:v>
                </c:pt>
                <c:pt idx="70">
                  <c:v>24.89</c:v>
                </c:pt>
                <c:pt idx="71">
                  <c:v>25.54</c:v>
                </c:pt>
                <c:pt idx="72">
                  <c:v>26.26</c:v>
                </c:pt>
                <c:pt idx="73">
                  <c:v>26.49</c:v>
                </c:pt>
                <c:pt idx="74">
                  <c:v>28.84</c:v>
                </c:pt>
                <c:pt idx="75">
                  <c:v>28.6</c:v>
                </c:pt>
                <c:pt idx="76">
                  <c:v>30.67</c:v>
                </c:pt>
                <c:pt idx="77">
                  <c:v>32.450000000000003</c:v>
                </c:pt>
                <c:pt idx="78">
                  <c:v>31.35</c:v>
                </c:pt>
                <c:pt idx="79">
                  <c:v>33.119999999999997</c:v>
                </c:pt>
                <c:pt idx="80">
                  <c:v>35.47</c:v>
                </c:pt>
                <c:pt idx="81">
                  <c:v>36.04</c:v>
                </c:pt>
                <c:pt idx="82">
                  <c:v>39.700000000000003</c:v>
                </c:pt>
                <c:pt idx="83">
                  <c:v>40.18</c:v>
                </c:pt>
                <c:pt idx="84">
                  <c:v>38.65</c:v>
                </c:pt>
                <c:pt idx="85">
                  <c:v>45.4</c:v>
                </c:pt>
                <c:pt idx="86">
                  <c:v>44.22</c:v>
                </c:pt>
                <c:pt idx="87">
                  <c:v>40</c:v>
                </c:pt>
                <c:pt idx="88">
                  <c:v>41.4</c:v>
                </c:pt>
                <c:pt idx="89">
                  <c:v>41.07</c:v>
                </c:pt>
                <c:pt idx="90">
                  <c:v>42.7</c:v>
                </c:pt>
                <c:pt idx="91">
                  <c:v>44.3</c:v>
                </c:pt>
                <c:pt idx="92">
                  <c:v>45.38</c:v>
                </c:pt>
                <c:pt idx="93">
                  <c:v>46.05</c:v>
                </c:pt>
                <c:pt idx="94">
                  <c:v>46.47</c:v>
                </c:pt>
                <c:pt idx="95">
                  <c:v>41.91</c:v>
                </c:pt>
                <c:pt idx="96">
                  <c:v>34.83</c:v>
                </c:pt>
                <c:pt idx="97">
                  <c:v>38.770000000000003</c:v>
                </c:pt>
                <c:pt idx="98">
                  <c:v>38.880000000000003</c:v>
                </c:pt>
                <c:pt idx="99">
                  <c:v>39.9</c:v>
                </c:pt>
                <c:pt idx="100">
                  <c:v>39.549999999999997</c:v>
                </c:pt>
                <c:pt idx="101">
                  <c:v>37.409999999999997</c:v>
                </c:pt>
                <c:pt idx="102">
                  <c:v>36.619999999999997</c:v>
                </c:pt>
                <c:pt idx="103">
                  <c:v>35.97</c:v>
                </c:pt>
                <c:pt idx="104">
                  <c:v>34.32</c:v>
                </c:pt>
                <c:pt idx="105">
                  <c:v>35.979999999999997</c:v>
                </c:pt>
                <c:pt idx="106">
                  <c:v>35.44</c:v>
                </c:pt>
                <c:pt idx="107">
                  <c:v>34.450000000000003</c:v>
                </c:pt>
                <c:pt idx="108">
                  <c:v>37.409999999999997</c:v>
                </c:pt>
                <c:pt idx="109">
                  <c:v>39.299999999999997</c:v>
                </c:pt>
                <c:pt idx="110">
                  <c:v>41.75</c:v>
                </c:pt>
                <c:pt idx="111">
                  <c:v>39.9</c:v>
                </c:pt>
                <c:pt idx="112">
                  <c:v>40.24</c:v>
                </c:pt>
                <c:pt idx="113">
                  <c:v>43.38</c:v>
                </c:pt>
                <c:pt idx="114">
                  <c:v>40.98</c:v>
                </c:pt>
                <c:pt idx="115">
                  <c:v>44.71</c:v>
                </c:pt>
                <c:pt idx="116">
                  <c:v>45.68</c:v>
                </c:pt>
                <c:pt idx="117">
                  <c:v>44.83</c:v>
                </c:pt>
                <c:pt idx="118">
                  <c:v>44.77</c:v>
                </c:pt>
                <c:pt idx="119">
                  <c:v>43.34</c:v>
                </c:pt>
                <c:pt idx="120">
                  <c:v>38.33</c:v>
                </c:pt>
                <c:pt idx="121">
                  <c:v>38.11</c:v>
                </c:pt>
                <c:pt idx="122">
                  <c:v>38.08</c:v>
                </c:pt>
                <c:pt idx="123">
                  <c:v>38.9</c:v>
                </c:pt>
                <c:pt idx="124">
                  <c:v>40.159999999999997</c:v>
                </c:pt>
                <c:pt idx="125">
                  <c:v>38.869999999999997</c:v>
                </c:pt>
                <c:pt idx="126">
                  <c:v>40.450000000000003</c:v>
                </c:pt>
                <c:pt idx="127">
                  <c:v>42.16</c:v>
                </c:pt>
                <c:pt idx="128">
                  <c:v>45.84</c:v>
                </c:pt>
                <c:pt idx="129">
                  <c:v>41.56</c:v>
                </c:pt>
                <c:pt idx="130">
                  <c:v>37.659999999999997</c:v>
                </c:pt>
                <c:pt idx="131">
                  <c:v>37.049999999999997</c:v>
                </c:pt>
                <c:pt idx="132">
                  <c:v>37.39</c:v>
                </c:pt>
                <c:pt idx="133">
                  <c:v>38.72</c:v>
                </c:pt>
                <c:pt idx="134">
                  <c:v>41.84</c:v>
                </c:pt>
                <c:pt idx="135">
                  <c:v>39.299999999999997</c:v>
                </c:pt>
                <c:pt idx="136">
                  <c:v>39.229999999999997</c:v>
                </c:pt>
                <c:pt idx="137">
                  <c:v>40.18</c:v>
                </c:pt>
                <c:pt idx="138">
                  <c:v>43.78</c:v>
                </c:pt>
                <c:pt idx="139">
                  <c:v>44.03</c:v>
                </c:pt>
                <c:pt idx="140">
                  <c:v>41.02</c:v>
                </c:pt>
                <c:pt idx="141">
                  <c:v>42.25</c:v>
                </c:pt>
                <c:pt idx="142">
                  <c:v>45.68</c:v>
                </c:pt>
                <c:pt idx="143">
                  <c:v>43.68</c:v>
                </c:pt>
                <c:pt idx="144">
                  <c:v>46.19</c:v>
                </c:pt>
                <c:pt idx="145">
                  <c:v>45.99</c:v>
                </c:pt>
                <c:pt idx="146">
                  <c:v>44.77</c:v>
                </c:pt>
                <c:pt idx="147">
                  <c:v>39.43</c:v>
                </c:pt>
                <c:pt idx="148">
                  <c:v>41.86</c:v>
                </c:pt>
                <c:pt idx="149">
                  <c:v>40.49</c:v>
                </c:pt>
                <c:pt idx="150">
                  <c:v>41.09</c:v>
                </c:pt>
                <c:pt idx="151">
                  <c:v>42.33</c:v>
                </c:pt>
                <c:pt idx="152">
                  <c:v>37.74</c:v>
                </c:pt>
                <c:pt idx="153">
                  <c:v>41.79</c:v>
                </c:pt>
                <c:pt idx="154">
                  <c:v>41</c:v>
                </c:pt>
                <c:pt idx="155">
                  <c:v>41.75</c:v>
                </c:pt>
                <c:pt idx="156">
                  <c:v>42.71</c:v>
                </c:pt>
                <c:pt idx="157">
                  <c:v>43.3</c:v>
                </c:pt>
                <c:pt idx="158">
                  <c:v>40.630000000000003</c:v>
                </c:pt>
                <c:pt idx="159">
                  <c:v>40.15</c:v>
                </c:pt>
                <c:pt idx="160">
                  <c:v>41.13</c:v>
                </c:pt>
                <c:pt idx="161">
                  <c:v>40.11</c:v>
                </c:pt>
                <c:pt idx="162">
                  <c:v>41.78</c:v>
                </c:pt>
                <c:pt idx="163">
                  <c:v>41.82</c:v>
                </c:pt>
                <c:pt idx="164">
                  <c:v>39.21</c:v>
                </c:pt>
                <c:pt idx="165">
                  <c:v>38.200000000000003</c:v>
                </c:pt>
                <c:pt idx="166">
                  <c:v>37.57</c:v>
                </c:pt>
                <c:pt idx="167">
                  <c:v>37.49</c:v>
                </c:pt>
                <c:pt idx="168">
                  <c:v>35.46</c:v>
                </c:pt>
                <c:pt idx="169">
                  <c:v>29.99</c:v>
                </c:pt>
                <c:pt idx="170">
                  <c:v>29.86</c:v>
                </c:pt>
                <c:pt idx="171">
                  <c:v>35.11</c:v>
                </c:pt>
                <c:pt idx="172">
                  <c:v>33.97</c:v>
                </c:pt>
                <c:pt idx="173">
                  <c:v>34.090000000000003</c:v>
                </c:pt>
                <c:pt idx="174">
                  <c:v>37.35</c:v>
                </c:pt>
                <c:pt idx="175">
                  <c:v>40.03</c:v>
                </c:pt>
                <c:pt idx="176">
                  <c:v>37.590000000000003</c:v>
                </c:pt>
                <c:pt idx="177">
                  <c:v>39.96</c:v>
                </c:pt>
                <c:pt idx="178">
                  <c:v>52.22</c:v>
                </c:pt>
                <c:pt idx="179">
                  <c:v>45.5</c:v>
                </c:pt>
                <c:pt idx="180">
                  <c:v>42.48</c:v>
                </c:pt>
                <c:pt idx="181">
                  <c:v>44.18</c:v>
                </c:pt>
                <c:pt idx="182">
                  <c:v>42.61</c:v>
                </c:pt>
                <c:pt idx="183">
                  <c:v>44.89</c:v>
                </c:pt>
                <c:pt idx="184">
                  <c:v>45.41</c:v>
                </c:pt>
                <c:pt idx="185">
                  <c:v>41.67</c:v>
                </c:pt>
                <c:pt idx="186">
                  <c:v>43.53</c:v>
                </c:pt>
                <c:pt idx="187">
                  <c:v>41.78</c:v>
                </c:pt>
                <c:pt idx="188">
                  <c:v>37.86</c:v>
                </c:pt>
                <c:pt idx="189">
                  <c:v>37.590000000000003</c:v>
                </c:pt>
                <c:pt idx="190">
                  <c:v>40.479999999999997</c:v>
                </c:pt>
                <c:pt idx="191">
                  <c:v>34.1</c:v>
                </c:pt>
                <c:pt idx="192">
                  <c:v>28.92</c:v>
                </c:pt>
                <c:pt idx="193">
                  <c:v>31.35</c:v>
                </c:pt>
                <c:pt idx="194">
                  <c:v>30.62</c:v>
                </c:pt>
                <c:pt idx="195">
                  <c:v>30.09</c:v>
                </c:pt>
                <c:pt idx="196">
                  <c:v>26.7</c:v>
                </c:pt>
                <c:pt idx="197">
                  <c:v>30.68</c:v>
                </c:pt>
                <c:pt idx="198">
                  <c:v>31.73</c:v>
                </c:pt>
                <c:pt idx="199">
                  <c:v>37.44</c:v>
                </c:pt>
                <c:pt idx="200">
                  <c:v>39.979999999999997</c:v>
                </c:pt>
                <c:pt idx="201">
                  <c:v>39.520000000000003</c:v>
                </c:pt>
                <c:pt idx="202">
                  <c:v>43.65</c:v>
                </c:pt>
                <c:pt idx="203">
                  <c:v>45.56</c:v>
                </c:pt>
                <c:pt idx="204">
                  <c:v>42.81</c:v>
                </c:pt>
                <c:pt idx="205">
                  <c:v>46.47</c:v>
                </c:pt>
                <c:pt idx="206">
                  <c:v>47.89</c:v>
                </c:pt>
                <c:pt idx="207">
                  <c:v>44.17</c:v>
                </c:pt>
                <c:pt idx="208">
                  <c:v>44.43</c:v>
                </c:pt>
                <c:pt idx="209">
                  <c:v>48.86</c:v>
                </c:pt>
                <c:pt idx="210">
                  <c:v>41.32</c:v>
                </c:pt>
                <c:pt idx="211">
                  <c:v>40.98</c:v>
                </c:pt>
                <c:pt idx="212">
                  <c:v>40.97</c:v>
                </c:pt>
                <c:pt idx="213">
                  <c:v>44.08</c:v>
                </c:pt>
                <c:pt idx="214">
                  <c:v>46.1</c:v>
                </c:pt>
                <c:pt idx="215">
                  <c:v>45.33</c:v>
                </c:pt>
                <c:pt idx="216">
                  <c:v>46.9</c:v>
                </c:pt>
                <c:pt idx="217">
                  <c:v>44.78</c:v>
                </c:pt>
                <c:pt idx="218">
                  <c:v>48.98</c:v>
                </c:pt>
                <c:pt idx="219">
                  <c:v>51.39</c:v>
                </c:pt>
                <c:pt idx="220">
                  <c:v>52.89</c:v>
                </c:pt>
                <c:pt idx="221">
                  <c:v>54.3</c:v>
                </c:pt>
                <c:pt idx="222">
                  <c:v>57.37</c:v>
                </c:pt>
                <c:pt idx="223">
                  <c:v>54.53</c:v>
                </c:pt>
                <c:pt idx="224">
                  <c:v>52.34</c:v>
                </c:pt>
                <c:pt idx="225">
                  <c:v>50.67</c:v>
                </c:pt>
                <c:pt idx="226">
                  <c:v>54.72</c:v>
                </c:pt>
                <c:pt idx="227">
                  <c:v>55.63</c:v>
                </c:pt>
                <c:pt idx="228">
                  <c:v>53.74</c:v>
                </c:pt>
                <c:pt idx="229">
                  <c:v>55.73</c:v>
                </c:pt>
                <c:pt idx="230">
                  <c:v>55.87</c:v>
                </c:pt>
                <c:pt idx="231">
                  <c:v>54.67</c:v>
                </c:pt>
                <c:pt idx="232">
                  <c:v>56.2</c:v>
                </c:pt>
                <c:pt idx="233">
                  <c:v>54.8</c:v>
                </c:pt>
                <c:pt idx="234">
                  <c:v>68.8</c:v>
                </c:pt>
                <c:pt idx="235">
                  <c:v>67.23</c:v>
                </c:pt>
                <c:pt idx="236">
                  <c:v>71.260000000000005</c:v>
                </c:pt>
                <c:pt idx="237">
                  <c:v>73.150000000000006</c:v>
                </c:pt>
                <c:pt idx="238">
                  <c:v>83.53</c:v>
                </c:pt>
                <c:pt idx="239">
                  <c:v>73.88</c:v>
                </c:pt>
                <c:pt idx="240">
                  <c:v>86.45</c:v>
                </c:pt>
                <c:pt idx="241">
                  <c:v>84.32</c:v>
                </c:pt>
                <c:pt idx="242">
                  <c:v>66.540000000000006</c:v>
                </c:pt>
                <c:pt idx="243">
                  <c:v>60.18</c:v>
                </c:pt>
                <c:pt idx="244">
                  <c:v>57.09</c:v>
                </c:pt>
                <c:pt idx="245">
                  <c:v>55.71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50-4B63-9FB4-441EB3C0E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363168"/>
        <c:axId val="1929274928"/>
      </c:lineChart>
      <c:dateAx>
        <c:axId val="86363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9274928"/>
        <c:crosses val="autoZero"/>
        <c:auto val="0"/>
        <c:lblOffset val="100"/>
        <c:baseTimeUnit val="months"/>
        <c:majorUnit val="2"/>
        <c:majorTimeUnit val="years"/>
      </c:dateAx>
      <c:valAx>
        <c:axId val="192927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Precio (MXN)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636316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KIMBERLY CLARK — Precio de cierre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report!$P$1</c:f>
              <c:strCache>
                <c:ptCount val="1"/>
                <c:pt idx="0">
                  <c:v>KIMBERLY CLARK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report!$A$2:$A$247</c:f>
              <c:numCache>
                <c:formatCode>m/d/yyyy</c:formatCode>
                <c:ptCount val="246"/>
                <c:pt idx="0">
                  <c:v>38776.041250000002</c:v>
                </c:pt>
                <c:pt idx="1">
                  <c:v>38807.041250000002</c:v>
                </c:pt>
                <c:pt idx="2">
                  <c:v>38835.041250000002</c:v>
                </c:pt>
                <c:pt idx="3">
                  <c:v>38868.041250000002</c:v>
                </c:pt>
                <c:pt idx="4">
                  <c:v>38898.041250000002</c:v>
                </c:pt>
                <c:pt idx="5">
                  <c:v>38929.041250000002</c:v>
                </c:pt>
                <c:pt idx="6">
                  <c:v>38960.041250000002</c:v>
                </c:pt>
                <c:pt idx="7">
                  <c:v>38989.041250000002</c:v>
                </c:pt>
                <c:pt idx="8">
                  <c:v>39021.041250000002</c:v>
                </c:pt>
                <c:pt idx="9">
                  <c:v>39051.041250000002</c:v>
                </c:pt>
                <c:pt idx="10">
                  <c:v>39080.041250000002</c:v>
                </c:pt>
                <c:pt idx="11">
                  <c:v>39113.041250000002</c:v>
                </c:pt>
                <c:pt idx="12">
                  <c:v>39141.041250000002</c:v>
                </c:pt>
                <c:pt idx="13">
                  <c:v>39171.041250000002</c:v>
                </c:pt>
                <c:pt idx="14">
                  <c:v>39202.041250000002</c:v>
                </c:pt>
                <c:pt idx="15">
                  <c:v>39233.041250000002</c:v>
                </c:pt>
                <c:pt idx="16">
                  <c:v>39262.041250000002</c:v>
                </c:pt>
                <c:pt idx="17">
                  <c:v>39294.041250000002</c:v>
                </c:pt>
                <c:pt idx="18">
                  <c:v>39325.041250000002</c:v>
                </c:pt>
                <c:pt idx="19">
                  <c:v>39353.041250000002</c:v>
                </c:pt>
                <c:pt idx="20">
                  <c:v>39386.041250000002</c:v>
                </c:pt>
                <c:pt idx="21">
                  <c:v>39416.041250000002</c:v>
                </c:pt>
                <c:pt idx="22">
                  <c:v>39447.041250000002</c:v>
                </c:pt>
                <c:pt idx="23">
                  <c:v>39478.041250000002</c:v>
                </c:pt>
                <c:pt idx="24">
                  <c:v>39507.041250000002</c:v>
                </c:pt>
                <c:pt idx="25">
                  <c:v>39538.041250000002</c:v>
                </c:pt>
                <c:pt idx="26">
                  <c:v>39568.041250000002</c:v>
                </c:pt>
                <c:pt idx="27">
                  <c:v>39598.041250000002</c:v>
                </c:pt>
                <c:pt idx="28">
                  <c:v>39629.041250000002</c:v>
                </c:pt>
                <c:pt idx="29">
                  <c:v>39660.041250000002</c:v>
                </c:pt>
                <c:pt idx="30">
                  <c:v>39689.041250000002</c:v>
                </c:pt>
                <c:pt idx="31">
                  <c:v>39721.041250000002</c:v>
                </c:pt>
                <c:pt idx="32">
                  <c:v>39752.041250000002</c:v>
                </c:pt>
                <c:pt idx="33">
                  <c:v>39780.041250000002</c:v>
                </c:pt>
                <c:pt idx="34">
                  <c:v>39813.041250000002</c:v>
                </c:pt>
                <c:pt idx="35">
                  <c:v>39843.041250000002</c:v>
                </c:pt>
                <c:pt idx="36">
                  <c:v>39871.041250000002</c:v>
                </c:pt>
                <c:pt idx="37">
                  <c:v>39903.041250000002</c:v>
                </c:pt>
                <c:pt idx="38">
                  <c:v>39933.041250000002</c:v>
                </c:pt>
                <c:pt idx="39">
                  <c:v>39962.041250000002</c:v>
                </c:pt>
                <c:pt idx="40">
                  <c:v>39994.041250000002</c:v>
                </c:pt>
                <c:pt idx="41">
                  <c:v>40025.041250000002</c:v>
                </c:pt>
                <c:pt idx="42">
                  <c:v>40056.041250000002</c:v>
                </c:pt>
                <c:pt idx="43">
                  <c:v>40086.041250000002</c:v>
                </c:pt>
                <c:pt idx="44">
                  <c:v>40116.041250000002</c:v>
                </c:pt>
                <c:pt idx="45">
                  <c:v>40147.041250000002</c:v>
                </c:pt>
                <c:pt idx="46">
                  <c:v>40178.041250000002</c:v>
                </c:pt>
                <c:pt idx="47">
                  <c:v>40207.041250000002</c:v>
                </c:pt>
                <c:pt idx="48">
                  <c:v>40235.041250000002</c:v>
                </c:pt>
                <c:pt idx="49">
                  <c:v>40268.041250000002</c:v>
                </c:pt>
                <c:pt idx="50">
                  <c:v>40298.041250000002</c:v>
                </c:pt>
                <c:pt idx="51">
                  <c:v>40329.041250000002</c:v>
                </c:pt>
                <c:pt idx="52">
                  <c:v>40359.041250000002</c:v>
                </c:pt>
                <c:pt idx="53">
                  <c:v>40389.041250000002</c:v>
                </c:pt>
                <c:pt idx="54">
                  <c:v>40421.041250000002</c:v>
                </c:pt>
                <c:pt idx="55">
                  <c:v>40451.041250000002</c:v>
                </c:pt>
                <c:pt idx="56">
                  <c:v>40480.041250000002</c:v>
                </c:pt>
                <c:pt idx="57">
                  <c:v>40512.041250000002</c:v>
                </c:pt>
                <c:pt idx="58">
                  <c:v>40543.041250000002</c:v>
                </c:pt>
                <c:pt idx="59">
                  <c:v>40574.041250000002</c:v>
                </c:pt>
                <c:pt idx="60">
                  <c:v>40602.041250000002</c:v>
                </c:pt>
                <c:pt idx="61">
                  <c:v>40633.041250000002</c:v>
                </c:pt>
                <c:pt idx="62">
                  <c:v>40662.041250000002</c:v>
                </c:pt>
                <c:pt idx="63">
                  <c:v>40694.041250000002</c:v>
                </c:pt>
                <c:pt idx="64">
                  <c:v>40724.041250000002</c:v>
                </c:pt>
                <c:pt idx="65">
                  <c:v>40753.041250000002</c:v>
                </c:pt>
                <c:pt idx="66">
                  <c:v>40786.041250000002</c:v>
                </c:pt>
                <c:pt idx="67">
                  <c:v>40816.041250000002</c:v>
                </c:pt>
                <c:pt idx="68">
                  <c:v>40847.041250000002</c:v>
                </c:pt>
                <c:pt idx="69">
                  <c:v>40877.041250000002</c:v>
                </c:pt>
                <c:pt idx="70">
                  <c:v>40907.041250000002</c:v>
                </c:pt>
                <c:pt idx="71">
                  <c:v>40939.041250000002</c:v>
                </c:pt>
                <c:pt idx="72">
                  <c:v>40968.041250000002</c:v>
                </c:pt>
                <c:pt idx="73">
                  <c:v>40998.041250000002</c:v>
                </c:pt>
                <c:pt idx="74">
                  <c:v>41029.041250000002</c:v>
                </c:pt>
                <c:pt idx="75">
                  <c:v>41060.041250000002</c:v>
                </c:pt>
                <c:pt idx="76">
                  <c:v>41089.041250000002</c:v>
                </c:pt>
                <c:pt idx="77">
                  <c:v>41121.041250000002</c:v>
                </c:pt>
                <c:pt idx="78">
                  <c:v>41152.041250000002</c:v>
                </c:pt>
                <c:pt idx="79">
                  <c:v>41180.041250000002</c:v>
                </c:pt>
                <c:pt idx="80">
                  <c:v>41213.041250000002</c:v>
                </c:pt>
                <c:pt idx="81">
                  <c:v>41243.041250000002</c:v>
                </c:pt>
                <c:pt idx="82">
                  <c:v>41274.041250000002</c:v>
                </c:pt>
                <c:pt idx="83">
                  <c:v>41305.041250000002</c:v>
                </c:pt>
                <c:pt idx="84">
                  <c:v>41333.041250000002</c:v>
                </c:pt>
                <c:pt idx="85">
                  <c:v>41360.041250000002</c:v>
                </c:pt>
                <c:pt idx="86">
                  <c:v>41394.041250000002</c:v>
                </c:pt>
                <c:pt idx="87">
                  <c:v>41425.041250000002</c:v>
                </c:pt>
                <c:pt idx="88">
                  <c:v>41453.041250000002</c:v>
                </c:pt>
                <c:pt idx="89">
                  <c:v>41486.041250000002</c:v>
                </c:pt>
                <c:pt idx="90">
                  <c:v>41516.041250000002</c:v>
                </c:pt>
                <c:pt idx="91">
                  <c:v>41547.041250000002</c:v>
                </c:pt>
                <c:pt idx="92">
                  <c:v>41578.041250000002</c:v>
                </c:pt>
                <c:pt idx="93">
                  <c:v>41607.041250000002</c:v>
                </c:pt>
                <c:pt idx="94">
                  <c:v>41639.041250000002</c:v>
                </c:pt>
                <c:pt idx="95">
                  <c:v>41670.041250000002</c:v>
                </c:pt>
                <c:pt idx="96">
                  <c:v>41698.041250000002</c:v>
                </c:pt>
                <c:pt idx="97">
                  <c:v>41729.041250000002</c:v>
                </c:pt>
                <c:pt idx="98">
                  <c:v>41759.041250000002</c:v>
                </c:pt>
                <c:pt idx="99">
                  <c:v>41789.041250000002</c:v>
                </c:pt>
                <c:pt idx="100">
                  <c:v>41820.041250000002</c:v>
                </c:pt>
                <c:pt idx="101">
                  <c:v>41851.041250000002</c:v>
                </c:pt>
                <c:pt idx="102">
                  <c:v>41880.041250000002</c:v>
                </c:pt>
                <c:pt idx="103">
                  <c:v>41912.041250000002</c:v>
                </c:pt>
                <c:pt idx="104">
                  <c:v>41943.041250000002</c:v>
                </c:pt>
                <c:pt idx="105">
                  <c:v>41971.041250000002</c:v>
                </c:pt>
                <c:pt idx="106">
                  <c:v>42004.041250000002</c:v>
                </c:pt>
                <c:pt idx="107">
                  <c:v>42034.041250000002</c:v>
                </c:pt>
                <c:pt idx="108">
                  <c:v>42062.041250000002</c:v>
                </c:pt>
                <c:pt idx="109">
                  <c:v>42094.041250000002</c:v>
                </c:pt>
                <c:pt idx="110">
                  <c:v>42124.041250000002</c:v>
                </c:pt>
                <c:pt idx="111">
                  <c:v>42153.041250000002</c:v>
                </c:pt>
                <c:pt idx="112">
                  <c:v>42185.041250000002</c:v>
                </c:pt>
                <c:pt idx="113">
                  <c:v>42216.041250000002</c:v>
                </c:pt>
                <c:pt idx="114">
                  <c:v>42247.041250000002</c:v>
                </c:pt>
                <c:pt idx="115">
                  <c:v>42277.041250000002</c:v>
                </c:pt>
                <c:pt idx="116">
                  <c:v>42307.041250000002</c:v>
                </c:pt>
                <c:pt idx="117">
                  <c:v>42338.041250000002</c:v>
                </c:pt>
                <c:pt idx="118">
                  <c:v>42369.041250000002</c:v>
                </c:pt>
                <c:pt idx="119">
                  <c:v>42398.041250000002</c:v>
                </c:pt>
                <c:pt idx="120">
                  <c:v>42429.041250000002</c:v>
                </c:pt>
                <c:pt idx="121">
                  <c:v>42460.041250000002</c:v>
                </c:pt>
                <c:pt idx="122">
                  <c:v>42489.041250000002</c:v>
                </c:pt>
                <c:pt idx="123">
                  <c:v>42521.041250000002</c:v>
                </c:pt>
                <c:pt idx="124">
                  <c:v>42551.041250000002</c:v>
                </c:pt>
                <c:pt idx="125">
                  <c:v>42580.041250000002</c:v>
                </c:pt>
                <c:pt idx="126">
                  <c:v>42613.041250000002</c:v>
                </c:pt>
                <c:pt idx="127">
                  <c:v>42643.041250000002</c:v>
                </c:pt>
                <c:pt idx="128">
                  <c:v>42674.041250000002</c:v>
                </c:pt>
                <c:pt idx="129">
                  <c:v>42704.041250000002</c:v>
                </c:pt>
                <c:pt idx="130">
                  <c:v>42734.041250000002</c:v>
                </c:pt>
                <c:pt idx="131">
                  <c:v>42766.041250000002</c:v>
                </c:pt>
                <c:pt idx="132">
                  <c:v>42794.041250000002</c:v>
                </c:pt>
                <c:pt idx="133">
                  <c:v>42825.041250000002</c:v>
                </c:pt>
                <c:pt idx="134">
                  <c:v>42853.041250000002</c:v>
                </c:pt>
                <c:pt idx="135">
                  <c:v>42886.041250000002</c:v>
                </c:pt>
                <c:pt idx="136">
                  <c:v>42916.041250000002</c:v>
                </c:pt>
                <c:pt idx="137">
                  <c:v>42947.041250000002</c:v>
                </c:pt>
                <c:pt idx="138">
                  <c:v>42978.041250000002</c:v>
                </c:pt>
                <c:pt idx="139">
                  <c:v>43007.041250000002</c:v>
                </c:pt>
                <c:pt idx="140">
                  <c:v>43039.041250000002</c:v>
                </c:pt>
                <c:pt idx="141">
                  <c:v>43069.041250000002</c:v>
                </c:pt>
                <c:pt idx="142">
                  <c:v>43098.041250000002</c:v>
                </c:pt>
                <c:pt idx="143">
                  <c:v>43131.041250000002</c:v>
                </c:pt>
                <c:pt idx="144">
                  <c:v>43159.041250000002</c:v>
                </c:pt>
                <c:pt idx="145">
                  <c:v>43187.041250000002</c:v>
                </c:pt>
                <c:pt idx="146">
                  <c:v>43220.041250000002</c:v>
                </c:pt>
                <c:pt idx="147">
                  <c:v>43251.041250000002</c:v>
                </c:pt>
                <c:pt idx="148">
                  <c:v>43280.041250000002</c:v>
                </c:pt>
                <c:pt idx="149">
                  <c:v>43312.041250000002</c:v>
                </c:pt>
                <c:pt idx="150">
                  <c:v>43343.041250000002</c:v>
                </c:pt>
                <c:pt idx="151">
                  <c:v>43371.041250000002</c:v>
                </c:pt>
                <c:pt idx="152">
                  <c:v>43404.041250000002</c:v>
                </c:pt>
                <c:pt idx="153">
                  <c:v>43434.041250000002</c:v>
                </c:pt>
                <c:pt idx="154">
                  <c:v>43465.041250000002</c:v>
                </c:pt>
                <c:pt idx="155">
                  <c:v>43496.041250000002</c:v>
                </c:pt>
                <c:pt idx="156">
                  <c:v>43524.041250000002</c:v>
                </c:pt>
                <c:pt idx="157">
                  <c:v>43553.041250000002</c:v>
                </c:pt>
                <c:pt idx="158">
                  <c:v>43585.041250000002</c:v>
                </c:pt>
                <c:pt idx="159">
                  <c:v>43616.041250000002</c:v>
                </c:pt>
                <c:pt idx="160">
                  <c:v>43644.041250000002</c:v>
                </c:pt>
                <c:pt idx="161">
                  <c:v>43677.041250000002</c:v>
                </c:pt>
                <c:pt idx="162">
                  <c:v>43707.041250000002</c:v>
                </c:pt>
                <c:pt idx="163">
                  <c:v>43738.041250000002</c:v>
                </c:pt>
                <c:pt idx="164">
                  <c:v>43769.041250000002</c:v>
                </c:pt>
                <c:pt idx="165">
                  <c:v>43798.041250000002</c:v>
                </c:pt>
                <c:pt idx="166">
                  <c:v>43830.041250000002</c:v>
                </c:pt>
                <c:pt idx="167">
                  <c:v>43861.041250000002</c:v>
                </c:pt>
                <c:pt idx="168">
                  <c:v>43889.041250000002</c:v>
                </c:pt>
                <c:pt idx="169">
                  <c:v>43921.041250000002</c:v>
                </c:pt>
                <c:pt idx="170">
                  <c:v>43951.041250000002</c:v>
                </c:pt>
                <c:pt idx="171">
                  <c:v>43980.041250000002</c:v>
                </c:pt>
                <c:pt idx="172">
                  <c:v>44012.041250000002</c:v>
                </c:pt>
                <c:pt idx="173">
                  <c:v>44043.041250000002</c:v>
                </c:pt>
                <c:pt idx="174">
                  <c:v>44074.041250000002</c:v>
                </c:pt>
                <c:pt idx="175">
                  <c:v>44104.041250000002</c:v>
                </c:pt>
                <c:pt idx="176">
                  <c:v>44134.041250000002</c:v>
                </c:pt>
                <c:pt idx="177">
                  <c:v>44165.041250000002</c:v>
                </c:pt>
                <c:pt idx="178">
                  <c:v>44196.041250000002</c:v>
                </c:pt>
                <c:pt idx="179">
                  <c:v>44225.041250000002</c:v>
                </c:pt>
                <c:pt idx="180">
                  <c:v>44253.041250000002</c:v>
                </c:pt>
                <c:pt idx="181">
                  <c:v>44286.041250000002</c:v>
                </c:pt>
                <c:pt idx="182">
                  <c:v>44316.041250000002</c:v>
                </c:pt>
                <c:pt idx="183">
                  <c:v>44347.041250000002</c:v>
                </c:pt>
                <c:pt idx="184">
                  <c:v>44377.041250000002</c:v>
                </c:pt>
                <c:pt idx="185">
                  <c:v>44407.041250000002</c:v>
                </c:pt>
                <c:pt idx="186">
                  <c:v>44439.041250000002</c:v>
                </c:pt>
                <c:pt idx="187">
                  <c:v>44469.041250000002</c:v>
                </c:pt>
                <c:pt idx="188">
                  <c:v>44498.041250000002</c:v>
                </c:pt>
                <c:pt idx="189">
                  <c:v>44530.041250000002</c:v>
                </c:pt>
                <c:pt idx="190">
                  <c:v>44561.041250000002</c:v>
                </c:pt>
                <c:pt idx="191">
                  <c:v>44592.041250000002</c:v>
                </c:pt>
                <c:pt idx="192">
                  <c:v>44620.041250000002</c:v>
                </c:pt>
                <c:pt idx="193">
                  <c:v>44651.041250000002</c:v>
                </c:pt>
                <c:pt idx="194">
                  <c:v>44680.041250000002</c:v>
                </c:pt>
                <c:pt idx="195">
                  <c:v>44712.041250000002</c:v>
                </c:pt>
                <c:pt idx="196">
                  <c:v>44742.041250000002</c:v>
                </c:pt>
                <c:pt idx="197">
                  <c:v>44771.041250000002</c:v>
                </c:pt>
                <c:pt idx="198">
                  <c:v>44804.041250000002</c:v>
                </c:pt>
                <c:pt idx="199">
                  <c:v>44834.041250000002</c:v>
                </c:pt>
                <c:pt idx="200">
                  <c:v>44865.041250000002</c:v>
                </c:pt>
                <c:pt idx="201">
                  <c:v>44895.041250000002</c:v>
                </c:pt>
                <c:pt idx="202">
                  <c:v>44925.041250000002</c:v>
                </c:pt>
                <c:pt idx="203">
                  <c:v>44957.041250000002</c:v>
                </c:pt>
                <c:pt idx="204">
                  <c:v>44985.041250000002</c:v>
                </c:pt>
                <c:pt idx="205">
                  <c:v>45016.041250000002</c:v>
                </c:pt>
                <c:pt idx="206">
                  <c:v>45044.041250000002</c:v>
                </c:pt>
                <c:pt idx="207">
                  <c:v>45077.041250000002</c:v>
                </c:pt>
                <c:pt idx="208">
                  <c:v>45107.041250000002</c:v>
                </c:pt>
                <c:pt idx="209">
                  <c:v>45138.041250000002</c:v>
                </c:pt>
                <c:pt idx="210">
                  <c:v>45169.041250000002</c:v>
                </c:pt>
                <c:pt idx="211">
                  <c:v>45198.041250000002</c:v>
                </c:pt>
                <c:pt idx="212">
                  <c:v>45230.041250000002</c:v>
                </c:pt>
                <c:pt idx="213">
                  <c:v>45260.041250000002</c:v>
                </c:pt>
                <c:pt idx="214">
                  <c:v>45289.041250000002</c:v>
                </c:pt>
                <c:pt idx="215">
                  <c:v>45322.041250000002</c:v>
                </c:pt>
                <c:pt idx="216">
                  <c:v>45351.041250000002</c:v>
                </c:pt>
                <c:pt idx="217">
                  <c:v>45378.041250000002</c:v>
                </c:pt>
                <c:pt idx="218">
                  <c:v>45412.041250000002</c:v>
                </c:pt>
                <c:pt idx="219">
                  <c:v>45443.041250000002</c:v>
                </c:pt>
                <c:pt idx="220">
                  <c:v>45471.041250000002</c:v>
                </c:pt>
                <c:pt idx="221">
                  <c:v>45504.041250000002</c:v>
                </c:pt>
                <c:pt idx="222">
                  <c:v>45534.041250000002</c:v>
                </c:pt>
                <c:pt idx="223">
                  <c:v>45565.041250000002</c:v>
                </c:pt>
                <c:pt idx="224">
                  <c:v>45596.041250000002</c:v>
                </c:pt>
                <c:pt idx="225">
                  <c:v>45625.041250000002</c:v>
                </c:pt>
                <c:pt idx="226">
                  <c:v>45657.041250000002</c:v>
                </c:pt>
                <c:pt idx="227">
                  <c:v>45688.041250000002</c:v>
                </c:pt>
                <c:pt idx="228">
                  <c:v>45716.041250000002</c:v>
                </c:pt>
                <c:pt idx="229">
                  <c:v>45747.041250000002</c:v>
                </c:pt>
                <c:pt idx="230">
                  <c:v>45777.041250000002</c:v>
                </c:pt>
                <c:pt idx="231">
                  <c:v>45807.041250000002</c:v>
                </c:pt>
                <c:pt idx="232">
                  <c:v>45838.041250000002</c:v>
                </c:pt>
                <c:pt idx="233">
                  <c:v>45869.041250000002</c:v>
                </c:pt>
                <c:pt idx="234">
                  <c:v>45898.041250000002</c:v>
                </c:pt>
                <c:pt idx="235">
                  <c:v>45930.041250000002</c:v>
                </c:pt>
                <c:pt idx="236">
                  <c:v>45961.041250000002</c:v>
                </c:pt>
                <c:pt idx="237">
                  <c:v>45989.041250000002</c:v>
                </c:pt>
                <c:pt idx="238">
                  <c:v>46022.041250000002</c:v>
                </c:pt>
                <c:pt idx="239">
                  <c:v>46052.041250000002</c:v>
                </c:pt>
                <c:pt idx="240">
                  <c:v>46080.041250000002</c:v>
                </c:pt>
                <c:pt idx="241">
                  <c:v>46112.041250000002</c:v>
                </c:pt>
                <c:pt idx="242">
                  <c:v>46142.041250000002</c:v>
                </c:pt>
                <c:pt idx="243">
                  <c:v>46171.041250000002</c:v>
                </c:pt>
                <c:pt idx="244">
                  <c:v>46203.041250000002</c:v>
                </c:pt>
                <c:pt idx="245">
                  <c:v>46209.041250000002</c:v>
                </c:pt>
              </c:numCache>
            </c:numRef>
          </c:cat>
          <c:val>
            <c:numRef>
              <c:f>report!$P$2:$P$247</c:f>
              <c:numCache>
                <c:formatCode>##,##0.00###########</c:formatCode>
                <c:ptCount val="246"/>
                <c:pt idx="0">
                  <c:v>10.794331</c:v>
                </c:pt>
                <c:pt idx="1">
                  <c:v>11.228396</c:v>
                </c:pt>
                <c:pt idx="2">
                  <c:v>11.77399</c:v>
                </c:pt>
                <c:pt idx="3">
                  <c:v>11.566001</c:v>
                </c:pt>
                <c:pt idx="4">
                  <c:v>10.830503</c:v>
                </c:pt>
                <c:pt idx="5">
                  <c:v>12.563746</c:v>
                </c:pt>
                <c:pt idx="6">
                  <c:v>12.391928999999999</c:v>
                </c:pt>
                <c:pt idx="7">
                  <c:v>13.335414999999999</c:v>
                </c:pt>
                <c:pt idx="8">
                  <c:v>13.561489999999999</c:v>
                </c:pt>
                <c:pt idx="9">
                  <c:v>13.757422</c:v>
                </c:pt>
                <c:pt idx="10">
                  <c:v>14.975213</c:v>
                </c:pt>
                <c:pt idx="11">
                  <c:v>14.26383</c:v>
                </c:pt>
                <c:pt idx="12">
                  <c:v>14.113113999999999</c:v>
                </c:pt>
                <c:pt idx="13">
                  <c:v>15.005357</c:v>
                </c:pt>
                <c:pt idx="14">
                  <c:v>14.607464</c:v>
                </c:pt>
                <c:pt idx="15">
                  <c:v>13.712206999999999</c:v>
                </c:pt>
                <c:pt idx="16">
                  <c:v>14.143257</c:v>
                </c:pt>
                <c:pt idx="17">
                  <c:v>13.118383</c:v>
                </c:pt>
                <c:pt idx="18">
                  <c:v>14.179429000000001</c:v>
                </c:pt>
                <c:pt idx="19">
                  <c:v>15.011385000000001</c:v>
                </c:pt>
                <c:pt idx="20">
                  <c:v>13.799623</c:v>
                </c:pt>
                <c:pt idx="21">
                  <c:v>13.606705</c:v>
                </c:pt>
                <c:pt idx="22">
                  <c:v>14.423590000000001</c:v>
                </c:pt>
                <c:pt idx="23">
                  <c:v>13.217855999999999</c:v>
                </c:pt>
                <c:pt idx="24">
                  <c:v>13.332401000000001</c:v>
                </c:pt>
                <c:pt idx="25">
                  <c:v>14.230672999999999</c:v>
                </c:pt>
                <c:pt idx="26">
                  <c:v>14.996314</c:v>
                </c:pt>
                <c:pt idx="27">
                  <c:v>14.619522</c:v>
                </c:pt>
                <c:pt idx="28">
                  <c:v>12.645133</c:v>
                </c:pt>
                <c:pt idx="29">
                  <c:v>13.033982</c:v>
                </c:pt>
                <c:pt idx="30">
                  <c:v>13.642877</c:v>
                </c:pt>
                <c:pt idx="31">
                  <c:v>14.215600999999999</c:v>
                </c:pt>
                <c:pt idx="32">
                  <c:v>12.919437</c:v>
                </c:pt>
                <c:pt idx="33">
                  <c:v>12.65719</c:v>
                </c:pt>
                <c:pt idx="34">
                  <c:v>13.730293</c:v>
                </c:pt>
                <c:pt idx="35">
                  <c:v>13.986511999999999</c:v>
                </c:pt>
                <c:pt idx="36">
                  <c:v>14.227658</c:v>
                </c:pt>
                <c:pt idx="37">
                  <c:v>13.826752000000001</c:v>
                </c:pt>
                <c:pt idx="38">
                  <c:v>15.044543000000001</c:v>
                </c:pt>
                <c:pt idx="39">
                  <c:v>15.345976</c:v>
                </c:pt>
                <c:pt idx="40">
                  <c:v>15.21636</c:v>
                </c:pt>
                <c:pt idx="41">
                  <c:v>16.569796</c:v>
                </c:pt>
                <c:pt idx="42">
                  <c:v>17.335436999999999</c:v>
                </c:pt>
                <c:pt idx="43">
                  <c:v>17.064146999999998</c:v>
                </c:pt>
                <c:pt idx="44">
                  <c:v>15.698653</c:v>
                </c:pt>
                <c:pt idx="45">
                  <c:v>16.358792999999999</c:v>
                </c:pt>
                <c:pt idx="46">
                  <c:v>17.651941999999998</c:v>
                </c:pt>
                <c:pt idx="47">
                  <c:v>17.688113999999999</c:v>
                </c:pt>
                <c:pt idx="48">
                  <c:v>20.422115000000002</c:v>
                </c:pt>
                <c:pt idx="49">
                  <c:v>21.133497999999999</c:v>
                </c:pt>
                <c:pt idx="50">
                  <c:v>21.525362000000001</c:v>
                </c:pt>
                <c:pt idx="51">
                  <c:v>21.245028999999999</c:v>
                </c:pt>
                <c:pt idx="52">
                  <c:v>22.526121</c:v>
                </c:pt>
                <c:pt idx="53">
                  <c:v>24.111661000000002</c:v>
                </c:pt>
                <c:pt idx="54">
                  <c:v>23.029515</c:v>
                </c:pt>
                <c:pt idx="55">
                  <c:v>24.187018999999999</c:v>
                </c:pt>
                <c:pt idx="56">
                  <c:v>23.361090999999998</c:v>
                </c:pt>
                <c:pt idx="57">
                  <c:v>23.056643999999999</c:v>
                </c:pt>
                <c:pt idx="58">
                  <c:v>22.827553999999999</c:v>
                </c:pt>
                <c:pt idx="59">
                  <c:v>20.199055000000001</c:v>
                </c:pt>
                <c:pt idx="60">
                  <c:v>21.235986</c:v>
                </c:pt>
                <c:pt idx="61">
                  <c:v>22.215644000000001</c:v>
                </c:pt>
                <c:pt idx="62">
                  <c:v>21.471104</c:v>
                </c:pt>
                <c:pt idx="63">
                  <c:v>20.476372999999999</c:v>
                </c:pt>
                <c:pt idx="64">
                  <c:v>23.222432000000001</c:v>
                </c:pt>
                <c:pt idx="65">
                  <c:v>22.125214</c:v>
                </c:pt>
                <c:pt idx="66">
                  <c:v>22.306073999999999</c:v>
                </c:pt>
                <c:pt idx="67">
                  <c:v>21.492204000000001</c:v>
                </c:pt>
                <c:pt idx="68">
                  <c:v>22.854683000000001</c:v>
                </c:pt>
                <c:pt idx="69">
                  <c:v>21.763494000000001</c:v>
                </c:pt>
                <c:pt idx="70">
                  <c:v>22.685880999999998</c:v>
                </c:pt>
                <c:pt idx="71">
                  <c:v>22.287987999999999</c:v>
                </c:pt>
                <c:pt idx="72">
                  <c:v>21.416846</c:v>
                </c:pt>
                <c:pt idx="73">
                  <c:v>25.691172000000002</c:v>
                </c:pt>
                <c:pt idx="74">
                  <c:v>24.018215999999999</c:v>
                </c:pt>
                <c:pt idx="75">
                  <c:v>22.598465000000001</c:v>
                </c:pt>
                <c:pt idx="76">
                  <c:v>23.701711</c:v>
                </c:pt>
                <c:pt idx="77">
                  <c:v>25.139548999999999</c:v>
                </c:pt>
                <c:pt idx="78">
                  <c:v>24.1</c:v>
                </c:pt>
                <c:pt idx="79">
                  <c:v>27.807234999999999</c:v>
                </c:pt>
                <c:pt idx="80">
                  <c:v>28.43</c:v>
                </c:pt>
                <c:pt idx="81">
                  <c:v>28.340772000000001</c:v>
                </c:pt>
                <c:pt idx="82">
                  <c:v>29.805738000000002</c:v>
                </c:pt>
                <c:pt idx="83">
                  <c:v>32.184047999999997</c:v>
                </c:pt>
                <c:pt idx="84">
                  <c:v>36.578947999999997</c:v>
                </c:pt>
                <c:pt idx="85">
                  <c:v>38.984386999999998</c:v>
                </c:pt>
                <c:pt idx="86">
                  <c:v>38.089129</c:v>
                </c:pt>
                <c:pt idx="87">
                  <c:v>39.508881000000002</c:v>
                </c:pt>
                <c:pt idx="88">
                  <c:v>37.863053999999998</c:v>
                </c:pt>
                <c:pt idx="89">
                  <c:v>37.980612999999998</c:v>
                </c:pt>
                <c:pt idx="90">
                  <c:v>34.236809999999998</c:v>
                </c:pt>
                <c:pt idx="91">
                  <c:v>34.462885</c:v>
                </c:pt>
                <c:pt idx="92">
                  <c:v>35.873593</c:v>
                </c:pt>
                <c:pt idx="93">
                  <c:v>35.213453999999999</c:v>
                </c:pt>
                <c:pt idx="94">
                  <c:v>33.531455999999999</c:v>
                </c:pt>
                <c:pt idx="95">
                  <c:v>30.836641</c:v>
                </c:pt>
                <c:pt idx="96">
                  <c:v>28.964739000000002</c:v>
                </c:pt>
                <c:pt idx="97">
                  <c:v>31.614339000000001</c:v>
                </c:pt>
                <c:pt idx="98">
                  <c:v>30.755254000000001</c:v>
                </c:pt>
                <c:pt idx="99">
                  <c:v>31.080801999999998</c:v>
                </c:pt>
                <c:pt idx="100">
                  <c:v>32.835144</c:v>
                </c:pt>
                <c:pt idx="101">
                  <c:v>30.393533999999999</c:v>
                </c:pt>
                <c:pt idx="102">
                  <c:v>31.551037999999998</c:v>
                </c:pt>
                <c:pt idx="103">
                  <c:v>28.67</c:v>
                </c:pt>
                <c:pt idx="104">
                  <c:v>28.187041000000001</c:v>
                </c:pt>
                <c:pt idx="105">
                  <c:v>28.48</c:v>
                </c:pt>
                <c:pt idx="106">
                  <c:v>29.018996999999999</c:v>
                </c:pt>
                <c:pt idx="107">
                  <c:v>26.315138999999999</c:v>
                </c:pt>
                <c:pt idx="108">
                  <c:v>27.535945000000002</c:v>
                </c:pt>
                <c:pt idx="109">
                  <c:v>28.919523999999999</c:v>
                </c:pt>
                <c:pt idx="110">
                  <c:v>30.773340000000001</c:v>
                </c:pt>
                <c:pt idx="111">
                  <c:v>31.451564999999999</c:v>
                </c:pt>
                <c:pt idx="112">
                  <c:v>30.673867000000001</c:v>
                </c:pt>
                <c:pt idx="113">
                  <c:v>33.793703000000001</c:v>
                </c:pt>
                <c:pt idx="114">
                  <c:v>33.956477</c:v>
                </c:pt>
                <c:pt idx="115">
                  <c:v>34.910066999999998</c:v>
                </c:pt>
                <c:pt idx="116">
                  <c:v>36.398516000000001</c:v>
                </c:pt>
                <c:pt idx="117">
                  <c:v>36.096995</c:v>
                </c:pt>
                <c:pt idx="118">
                  <c:v>37.202851000000003</c:v>
                </c:pt>
                <c:pt idx="119">
                  <c:v>39.958275999999998</c:v>
                </c:pt>
                <c:pt idx="120">
                  <c:v>36.677568999999998</c:v>
                </c:pt>
                <c:pt idx="121">
                  <c:v>38.308706999999998</c:v>
                </c:pt>
                <c:pt idx="122">
                  <c:v>37.525391999999997</c:v>
                </c:pt>
                <c:pt idx="123">
                  <c:v>40.400618999999999</c:v>
                </c:pt>
                <c:pt idx="124">
                  <c:v>39.746321000000002</c:v>
                </c:pt>
                <c:pt idx="125">
                  <c:v>39.08</c:v>
                </c:pt>
                <c:pt idx="126">
                  <c:v>41.561768000000001</c:v>
                </c:pt>
                <c:pt idx="127">
                  <c:v>40.419049999999999</c:v>
                </c:pt>
                <c:pt idx="128">
                  <c:v>37.562254000000003</c:v>
                </c:pt>
                <c:pt idx="129">
                  <c:v>33.258629999999997</c:v>
                </c:pt>
                <c:pt idx="130">
                  <c:v>34.410564000000001</c:v>
                </c:pt>
                <c:pt idx="131">
                  <c:v>34.521149000000001</c:v>
                </c:pt>
                <c:pt idx="132">
                  <c:v>34.908199000000003</c:v>
                </c:pt>
                <c:pt idx="133">
                  <c:v>37.442453</c:v>
                </c:pt>
                <c:pt idx="134">
                  <c:v>37.027757000000001</c:v>
                </c:pt>
                <c:pt idx="135">
                  <c:v>33.968221</c:v>
                </c:pt>
                <c:pt idx="136">
                  <c:v>35.387403999999997</c:v>
                </c:pt>
                <c:pt idx="137">
                  <c:v>33.028243000000003</c:v>
                </c:pt>
                <c:pt idx="138">
                  <c:v>32.346299000000002</c:v>
                </c:pt>
                <c:pt idx="139">
                  <c:v>34.143315000000001</c:v>
                </c:pt>
                <c:pt idx="140">
                  <c:v>30.420265000000001</c:v>
                </c:pt>
                <c:pt idx="141">
                  <c:v>30.705945</c:v>
                </c:pt>
                <c:pt idx="142">
                  <c:v>31.931602000000002</c:v>
                </c:pt>
                <c:pt idx="143">
                  <c:v>32.208066000000002</c:v>
                </c:pt>
                <c:pt idx="144">
                  <c:v>31.655138000000001</c:v>
                </c:pt>
                <c:pt idx="145">
                  <c:v>31.369458999999999</c:v>
                </c:pt>
                <c:pt idx="146">
                  <c:v>31.650948</c:v>
                </c:pt>
                <c:pt idx="147">
                  <c:v>30.951530999999999</c:v>
                </c:pt>
                <c:pt idx="148">
                  <c:v>31.287251000000001</c:v>
                </c:pt>
                <c:pt idx="149">
                  <c:v>32.373109999999997</c:v>
                </c:pt>
                <c:pt idx="150">
                  <c:v>31.740749000000001</c:v>
                </c:pt>
                <c:pt idx="151">
                  <c:v>31.429288</c:v>
                </c:pt>
                <c:pt idx="152">
                  <c:v>27.961407000000001</c:v>
                </c:pt>
                <c:pt idx="153">
                  <c:v>28.734929000000001</c:v>
                </c:pt>
                <c:pt idx="154">
                  <c:v>30.162375000000001</c:v>
                </c:pt>
                <c:pt idx="155">
                  <c:v>30.888128999999999</c:v>
                </c:pt>
                <c:pt idx="156">
                  <c:v>30.143021000000001</c:v>
                </c:pt>
                <c:pt idx="157">
                  <c:v>31.88</c:v>
                </c:pt>
                <c:pt idx="158">
                  <c:v>32.086514000000001</c:v>
                </c:pt>
                <c:pt idx="159">
                  <c:v>34.612703000000003</c:v>
                </c:pt>
                <c:pt idx="160">
                  <c:v>34.945611</c:v>
                </c:pt>
                <c:pt idx="161">
                  <c:v>39.428069999999998</c:v>
                </c:pt>
                <c:pt idx="162">
                  <c:v>40.566465000000001</c:v>
                </c:pt>
                <c:pt idx="163">
                  <c:v>39.230088000000002</c:v>
                </c:pt>
                <c:pt idx="164">
                  <c:v>38.398564</c:v>
                </c:pt>
                <c:pt idx="165">
                  <c:v>37.072087000000003</c:v>
                </c:pt>
                <c:pt idx="166">
                  <c:v>37.5</c:v>
                </c:pt>
                <c:pt idx="167">
                  <c:v>38.97</c:v>
                </c:pt>
                <c:pt idx="168">
                  <c:v>37.270000000000003</c:v>
                </c:pt>
                <c:pt idx="169">
                  <c:v>35.92</c:v>
                </c:pt>
                <c:pt idx="170">
                  <c:v>34.04</c:v>
                </c:pt>
                <c:pt idx="171">
                  <c:v>34.42</c:v>
                </c:pt>
                <c:pt idx="172">
                  <c:v>35.880000000000003</c:v>
                </c:pt>
                <c:pt idx="173">
                  <c:v>36.42</c:v>
                </c:pt>
                <c:pt idx="174">
                  <c:v>35.159999999999997</c:v>
                </c:pt>
                <c:pt idx="175">
                  <c:v>35.1</c:v>
                </c:pt>
                <c:pt idx="176">
                  <c:v>31.53</c:v>
                </c:pt>
                <c:pt idx="177">
                  <c:v>32.06</c:v>
                </c:pt>
                <c:pt idx="178">
                  <c:v>33.99</c:v>
                </c:pt>
                <c:pt idx="179">
                  <c:v>35.81</c:v>
                </c:pt>
                <c:pt idx="180">
                  <c:v>33.450000000000003</c:v>
                </c:pt>
                <c:pt idx="181">
                  <c:v>34.93</c:v>
                </c:pt>
                <c:pt idx="182">
                  <c:v>35</c:v>
                </c:pt>
                <c:pt idx="183">
                  <c:v>36.07</c:v>
                </c:pt>
                <c:pt idx="184">
                  <c:v>35.369999999999997</c:v>
                </c:pt>
                <c:pt idx="185">
                  <c:v>32.229999999999997</c:v>
                </c:pt>
                <c:pt idx="186">
                  <c:v>35.47</c:v>
                </c:pt>
                <c:pt idx="187">
                  <c:v>33.99</c:v>
                </c:pt>
                <c:pt idx="188">
                  <c:v>32.57</c:v>
                </c:pt>
                <c:pt idx="189">
                  <c:v>33.67</c:v>
                </c:pt>
                <c:pt idx="190">
                  <c:v>31.01</c:v>
                </c:pt>
                <c:pt idx="191">
                  <c:v>29.8</c:v>
                </c:pt>
                <c:pt idx="192">
                  <c:v>28.74</c:v>
                </c:pt>
                <c:pt idx="193">
                  <c:v>27.98</c:v>
                </c:pt>
                <c:pt idx="194">
                  <c:v>28.49</c:v>
                </c:pt>
                <c:pt idx="195">
                  <c:v>30.47</c:v>
                </c:pt>
                <c:pt idx="196">
                  <c:v>27.23</c:v>
                </c:pt>
                <c:pt idx="197">
                  <c:v>30.02</c:v>
                </c:pt>
                <c:pt idx="198">
                  <c:v>27.29</c:v>
                </c:pt>
                <c:pt idx="199">
                  <c:v>26.91</c:v>
                </c:pt>
                <c:pt idx="200">
                  <c:v>31.26</c:v>
                </c:pt>
                <c:pt idx="201">
                  <c:v>32.799999999999997</c:v>
                </c:pt>
                <c:pt idx="202">
                  <c:v>33.07</c:v>
                </c:pt>
                <c:pt idx="203">
                  <c:v>35.94</c:v>
                </c:pt>
                <c:pt idx="204">
                  <c:v>36.71</c:v>
                </c:pt>
                <c:pt idx="205">
                  <c:v>37.96</c:v>
                </c:pt>
                <c:pt idx="206">
                  <c:v>40.78</c:v>
                </c:pt>
                <c:pt idx="207">
                  <c:v>35.979999999999997</c:v>
                </c:pt>
                <c:pt idx="208">
                  <c:v>38.07</c:v>
                </c:pt>
                <c:pt idx="209">
                  <c:v>39.32</c:v>
                </c:pt>
                <c:pt idx="210">
                  <c:v>38.36</c:v>
                </c:pt>
                <c:pt idx="211">
                  <c:v>34.700000000000003</c:v>
                </c:pt>
                <c:pt idx="212">
                  <c:v>33.049999999999997</c:v>
                </c:pt>
                <c:pt idx="213">
                  <c:v>35.14</c:v>
                </c:pt>
                <c:pt idx="214">
                  <c:v>38.17</c:v>
                </c:pt>
                <c:pt idx="215">
                  <c:v>39.24</c:v>
                </c:pt>
                <c:pt idx="216">
                  <c:v>37.880000000000003</c:v>
                </c:pt>
                <c:pt idx="217">
                  <c:v>38.6</c:v>
                </c:pt>
                <c:pt idx="218">
                  <c:v>35.659999999999997</c:v>
                </c:pt>
                <c:pt idx="219">
                  <c:v>35.590000000000003</c:v>
                </c:pt>
                <c:pt idx="220">
                  <c:v>31.65</c:v>
                </c:pt>
                <c:pt idx="221">
                  <c:v>33.14</c:v>
                </c:pt>
                <c:pt idx="222">
                  <c:v>32.19</c:v>
                </c:pt>
                <c:pt idx="223">
                  <c:v>31.84</c:v>
                </c:pt>
                <c:pt idx="224">
                  <c:v>28.73</c:v>
                </c:pt>
                <c:pt idx="225">
                  <c:v>27.34</c:v>
                </c:pt>
                <c:pt idx="226">
                  <c:v>29.4</c:v>
                </c:pt>
                <c:pt idx="227">
                  <c:v>30.98</c:v>
                </c:pt>
                <c:pt idx="228">
                  <c:v>30.74</c:v>
                </c:pt>
                <c:pt idx="229">
                  <c:v>33.549999999999997</c:v>
                </c:pt>
                <c:pt idx="230">
                  <c:v>34.57</c:v>
                </c:pt>
                <c:pt idx="231">
                  <c:v>34.450000000000003</c:v>
                </c:pt>
                <c:pt idx="232">
                  <c:v>34.33</c:v>
                </c:pt>
                <c:pt idx="233">
                  <c:v>35.159999999999997</c:v>
                </c:pt>
                <c:pt idx="234">
                  <c:v>35.049999999999997</c:v>
                </c:pt>
                <c:pt idx="235">
                  <c:v>38.74</c:v>
                </c:pt>
                <c:pt idx="236">
                  <c:v>35.96</c:v>
                </c:pt>
                <c:pt idx="237">
                  <c:v>38.979999999999997</c:v>
                </c:pt>
                <c:pt idx="238">
                  <c:v>38.4</c:v>
                </c:pt>
                <c:pt idx="239">
                  <c:v>38.71</c:v>
                </c:pt>
                <c:pt idx="240">
                  <c:v>43.23</c:v>
                </c:pt>
                <c:pt idx="241">
                  <c:v>42.43</c:v>
                </c:pt>
                <c:pt idx="242">
                  <c:v>39.5</c:v>
                </c:pt>
                <c:pt idx="243">
                  <c:v>38.4</c:v>
                </c:pt>
                <c:pt idx="244">
                  <c:v>38.729999999999997</c:v>
                </c:pt>
                <c:pt idx="245">
                  <c:v>39.21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9E-4705-AA9F-45BBCCBDD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381264"/>
        <c:axId val="1929283568"/>
      </c:lineChart>
      <c:dateAx>
        <c:axId val="86381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9283568"/>
        <c:crosses val="autoZero"/>
        <c:auto val="0"/>
        <c:lblOffset val="100"/>
        <c:baseTimeUnit val="months"/>
        <c:majorUnit val="2"/>
        <c:majorTimeUnit val="years"/>
      </c:dateAx>
      <c:valAx>
        <c:axId val="192928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Precio (MXN)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6381264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PEÑOLES — Precio de cierre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report!$R$1</c:f>
              <c:strCache>
                <c:ptCount val="1"/>
                <c:pt idx="0">
                  <c:v>PEÑOLES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report!$A$2:$A$247</c:f>
              <c:numCache>
                <c:formatCode>m/d/yyyy</c:formatCode>
                <c:ptCount val="246"/>
                <c:pt idx="0">
                  <c:v>38776.041250000002</c:v>
                </c:pt>
                <c:pt idx="1">
                  <c:v>38807.041250000002</c:v>
                </c:pt>
                <c:pt idx="2">
                  <c:v>38835.041250000002</c:v>
                </c:pt>
                <c:pt idx="3">
                  <c:v>38868.041250000002</c:v>
                </c:pt>
                <c:pt idx="4">
                  <c:v>38898.041250000002</c:v>
                </c:pt>
                <c:pt idx="5">
                  <c:v>38929.041250000002</c:v>
                </c:pt>
                <c:pt idx="6">
                  <c:v>38960.041250000002</c:v>
                </c:pt>
                <c:pt idx="7">
                  <c:v>38989.041250000002</c:v>
                </c:pt>
                <c:pt idx="8">
                  <c:v>39021.041250000002</c:v>
                </c:pt>
                <c:pt idx="9">
                  <c:v>39051.041250000002</c:v>
                </c:pt>
                <c:pt idx="10">
                  <c:v>39080.041250000002</c:v>
                </c:pt>
                <c:pt idx="11">
                  <c:v>39113.041250000002</c:v>
                </c:pt>
                <c:pt idx="12">
                  <c:v>39141.041250000002</c:v>
                </c:pt>
                <c:pt idx="13">
                  <c:v>39171.041250000002</c:v>
                </c:pt>
                <c:pt idx="14">
                  <c:v>39202.041250000002</c:v>
                </c:pt>
                <c:pt idx="15">
                  <c:v>39233.041250000002</c:v>
                </c:pt>
                <c:pt idx="16">
                  <c:v>39262.041250000002</c:v>
                </c:pt>
                <c:pt idx="17">
                  <c:v>39294.041250000002</c:v>
                </c:pt>
                <c:pt idx="18">
                  <c:v>39325.041250000002</c:v>
                </c:pt>
                <c:pt idx="19">
                  <c:v>39353.041250000002</c:v>
                </c:pt>
                <c:pt idx="20">
                  <c:v>39386.041250000002</c:v>
                </c:pt>
                <c:pt idx="21">
                  <c:v>39416.041250000002</c:v>
                </c:pt>
                <c:pt idx="22">
                  <c:v>39447.041250000002</c:v>
                </c:pt>
                <c:pt idx="23">
                  <c:v>39478.041250000002</c:v>
                </c:pt>
                <c:pt idx="24">
                  <c:v>39507.041250000002</c:v>
                </c:pt>
                <c:pt idx="25">
                  <c:v>39538.041250000002</c:v>
                </c:pt>
                <c:pt idx="26">
                  <c:v>39568.041250000002</c:v>
                </c:pt>
                <c:pt idx="27">
                  <c:v>39598.041250000002</c:v>
                </c:pt>
                <c:pt idx="28">
                  <c:v>39629.041250000002</c:v>
                </c:pt>
                <c:pt idx="29">
                  <c:v>39660.041250000002</c:v>
                </c:pt>
                <c:pt idx="30">
                  <c:v>39689.041250000002</c:v>
                </c:pt>
                <c:pt idx="31">
                  <c:v>39721.041250000002</c:v>
                </c:pt>
                <c:pt idx="32">
                  <c:v>39752.041250000002</c:v>
                </c:pt>
                <c:pt idx="33">
                  <c:v>39780.041250000002</c:v>
                </c:pt>
                <c:pt idx="34">
                  <c:v>39813.041250000002</c:v>
                </c:pt>
                <c:pt idx="35">
                  <c:v>39843.041250000002</c:v>
                </c:pt>
                <c:pt idx="36">
                  <c:v>39871.041250000002</c:v>
                </c:pt>
                <c:pt idx="37">
                  <c:v>39903.041250000002</c:v>
                </c:pt>
                <c:pt idx="38">
                  <c:v>39933.041250000002</c:v>
                </c:pt>
                <c:pt idx="39">
                  <c:v>39962.041250000002</c:v>
                </c:pt>
                <c:pt idx="40">
                  <c:v>39994.041250000002</c:v>
                </c:pt>
                <c:pt idx="41">
                  <c:v>40025.041250000002</c:v>
                </c:pt>
                <c:pt idx="42">
                  <c:v>40056.041250000002</c:v>
                </c:pt>
                <c:pt idx="43">
                  <c:v>40086.041250000002</c:v>
                </c:pt>
                <c:pt idx="44">
                  <c:v>40116.041250000002</c:v>
                </c:pt>
                <c:pt idx="45">
                  <c:v>40147.041250000002</c:v>
                </c:pt>
                <c:pt idx="46">
                  <c:v>40178.041250000002</c:v>
                </c:pt>
                <c:pt idx="47">
                  <c:v>40207.041250000002</c:v>
                </c:pt>
                <c:pt idx="48">
                  <c:v>40235.041250000002</c:v>
                </c:pt>
                <c:pt idx="49">
                  <c:v>40268.041250000002</c:v>
                </c:pt>
                <c:pt idx="50">
                  <c:v>40298.041250000002</c:v>
                </c:pt>
                <c:pt idx="51">
                  <c:v>40329.041250000002</c:v>
                </c:pt>
                <c:pt idx="52">
                  <c:v>40359.041250000002</c:v>
                </c:pt>
                <c:pt idx="53">
                  <c:v>40389.041250000002</c:v>
                </c:pt>
                <c:pt idx="54">
                  <c:v>40421.041250000002</c:v>
                </c:pt>
                <c:pt idx="55">
                  <c:v>40451.041250000002</c:v>
                </c:pt>
                <c:pt idx="56">
                  <c:v>40480.041250000002</c:v>
                </c:pt>
                <c:pt idx="57">
                  <c:v>40512.041250000002</c:v>
                </c:pt>
                <c:pt idx="58">
                  <c:v>40543.041250000002</c:v>
                </c:pt>
                <c:pt idx="59">
                  <c:v>40574.041250000002</c:v>
                </c:pt>
                <c:pt idx="60">
                  <c:v>40602.041250000002</c:v>
                </c:pt>
                <c:pt idx="61">
                  <c:v>40633.041250000002</c:v>
                </c:pt>
                <c:pt idx="62">
                  <c:v>40662.041250000002</c:v>
                </c:pt>
                <c:pt idx="63">
                  <c:v>40694.041250000002</c:v>
                </c:pt>
                <c:pt idx="64">
                  <c:v>40724.041250000002</c:v>
                </c:pt>
                <c:pt idx="65">
                  <c:v>40753.041250000002</c:v>
                </c:pt>
                <c:pt idx="66">
                  <c:v>40786.041250000002</c:v>
                </c:pt>
                <c:pt idx="67">
                  <c:v>40816.041250000002</c:v>
                </c:pt>
                <c:pt idx="68">
                  <c:v>40847.041250000002</c:v>
                </c:pt>
                <c:pt idx="69">
                  <c:v>40877.041250000002</c:v>
                </c:pt>
                <c:pt idx="70">
                  <c:v>40907.041250000002</c:v>
                </c:pt>
                <c:pt idx="71">
                  <c:v>40939.041250000002</c:v>
                </c:pt>
                <c:pt idx="72">
                  <c:v>40968.041250000002</c:v>
                </c:pt>
                <c:pt idx="73">
                  <c:v>40998.041250000002</c:v>
                </c:pt>
                <c:pt idx="74">
                  <c:v>41029.041250000002</c:v>
                </c:pt>
                <c:pt idx="75">
                  <c:v>41060.041250000002</c:v>
                </c:pt>
                <c:pt idx="76">
                  <c:v>41089.041250000002</c:v>
                </c:pt>
                <c:pt idx="77">
                  <c:v>41121.041250000002</c:v>
                </c:pt>
                <c:pt idx="78">
                  <c:v>41152.041250000002</c:v>
                </c:pt>
                <c:pt idx="79">
                  <c:v>41180.041250000002</c:v>
                </c:pt>
                <c:pt idx="80">
                  <c:v>41213.041250000002</c:v>
                </c:pt>
                <c:pt idx="81">
                  <c:v>41243.041250000002</c:v>
                </c:pt>
                <c:pt idx="82">
                  <c:v>41274.041250000002</c:v>
                </c:pt>
                <c:pt idx="83">
                  <c:v>41305.041250000002</c:v>
                </c:pt>
                <c:pt idx="84">
                  <c:v>41333.041250000002</c:v>
                </c:pt>
                <c:pt idx="85">
                  <c:v>41360.041250000002</c:v>
                </c:pt>
                <c:pt idx="86">
                  <c:v>41394.041250000002</c:v>
                </c:pt>
                <c:pt idx="87">
                  <c:v>41425.041250000002</c:v>
                </c:pt>
                <c:pt idx="88">
                  <c:v>41453.041250000002</c:v>
                </c:pt>
                <c:pt idx="89">
                  <c:v>41486.041250000002</c:v>
                </c:pt>
                <c:pt idx="90">
                  <c:v>41516.041250000002</c:v>
                </c:pt>
                <c:pt idx="91">
                  <c:v>41547.041250000002</c:v>
                </c:pt>
                <c:pt idx="92">
                  <c:v>41578.041250000002</c:v>
                </c:pt>
                <c:pt idx="93">
                  <c:v>41607.041250000002</c:v>
                </c:pt>
                <c:pt idx="94">
                  <c:v>41639.041250000002</c:v>
                </c:pt>
                <c:pt idx="95">
                  <c:v>41670.041250000002</c:v>
                </c:pt>
                <c:pt idx="96">
                  <c:v>41698.041250000002</c:v>
                </c:pt>
                <c:pt idx="97">
                  <c:v>41729.041250000002</c:v>
                </c:pt>
                <c:pt idx="98">
                  <c:v>41759.041250000002</c:v>
                </c:pt>
                <c:pt idx="99">
                  <c:v>41789.041250000002</c:v>
                </c:pt>
                <c:pt idx="100">
                  <c:v>41820.041250000002</c:v>
                </c:pt>
                <c:pt idx="101">
                  <c:v>41851.041250000002</c:v>
                </c:pt>
                <c:pt idx="102">
                  <c:v>41880.041250000002</c:v>
                </c:pt>
                <c:pt idx="103">
                  <c:v>41912.041250000002</c:v>
                </c:pt>
                <c:pt idx="104">
                  <c:v>41943.041250000002</c:v>
                </c:pt>
                <c:pt idx="105">
                  <c:v>41971.041250000002</c:v>
                </c:pt>
                <c:pt idx="106">
                  <c:v>42004.041250000002</c:v>
                </c:pt>
                <c:pt idx="107">
                  <c:v>42034.041250000002</c:v>
                </c:pt>
                <c:pt idx="108">
                  <c:v>42062.041250000002</c:v>
                </c:pt>
                <c:pt idx="109">
                  <c:v>42094.041250000002</c:v>
                </c:pt>
                <c:pt idx="110">
                  <c:v>42124.041250000002</c:v>
                </c:pt>
                <c:pt idx="111">
                  <c:v>42153.041250000002</c:v>
                </c:pt>
                <c:pt idx="112">
                  <c:v>42185.041250000002</c:v>
                </c:pt>
                <c:pt idx="113">
                  <c:v>42216.041250000002</c:v>
                </c:pt>
                <c:pt idx="114">
                  <c:v>42247.041250000002</c:v>
                </c:pt>
                <c:pt idx="115">
                  <c:v>42277.041250000002</c:v>
                </c:pt>
                <c:pt idx="116">
                  <c:v>42307.041250000002</c:v>
                </c:pt>
                <c:pt idx="117">
                  <c:v>42338.041250000002</c:v>
                </c:pt>
                <c:pt idx="118">
                  <c:v>42369.041250000002</c:v>
                </c:pt>
                <c:pt idx="119">
                  <c:v>42398.041250000002</c:v>
                </c:pt>
                <c:pt idx="120">
                  <c:v>42429.041250000002</c:v>
                </c:pt>
                <c:pt idx="121">
                  <c:v>42460.041250000002</c:v>
                </c:pt>
                <c:pt idx="122">
                  <c:v>42489.041250000002</c:v>
                </c:pt>
                <c:pt idx="123">
                  <c:v>42521.041250000002</c:v>
                </c:pt>
                <c:pt idx="124">
                  <c:v>42551.041250000002</c:v>
                </c:pt>
                <c:pt idx="125">
                  <c:v>42580.041250000002</c:v>
                </c:pt>
                <c:pt idx="126">
                  <c:v>42613.041250000002</c:v>
                </c:pt>
                <c:pt idx="127">
                  <c:v>42643.041250000002</c:v>
                </c:pt>
                <c:pt idx="128">
                  <c:v>42674.041250000002</c:v>
                </c:pt>
                <c:pt idx="129">
                  <c:v>42704.041250000002</c:v>
                </c:pt>
                <c:pt idx="130">
                  <c:v>42734.041250000002</c:v>
                </c:pt>
                <c:pt idx="131">
                  <c:v>42766.041250000002</c:v>
                </c:pt>
                <c:pt idx="132">
                  <c:v>42794.041250000002</c:v>
                </c:pt>
                <c:pt idx="133">
                  <c:v>42825.041250000002</c:v>
                </c:pt>
                <c:pt idx="134">
                  <c:v>42853.041250000002</c:v>
                </c:pt>
                <c:pt idx="135">
                  <c:v>42886.041250000002</c:v>
                </c:pt>
                <c:pt idx="136">
                  <c:v>42916.041250000002</c:v>
                </c:pt>
                <c:pt idx="137">
                  <c:v>42947.041250000002</c:v>
                </c:pt>
                <c:pt idx="138">
                  <c:v>42978.041250000002</c:v>
                </c:pt>
                <c:pt idx="139">
                  <c:v>43007.041250000002</c:v>
                </c:pt>
                <c:pt idx="140">
                  <c:v>43039.041250000002</c:v>
                </c:pt>
                <c:pt idx="141">
                  <c:v>43069.041250000002</c:v>
                </c:pt>
                <c:pt idx="142">
                  <c:v>43098.041250000002</c:v>
                </c:pt>
                <c:pt idx="143">
                  <c:v>43131.041250000002</c:v>
                </c:pt>
                <c:pt idx="144">
                  <c:v>43159.041250000002</c:v>
                </c:pt>
                <c:pt idx="145">
                  <c:v>43187.041250000002</c:v>
                </c:pt>
                <c:pt idx="146">
                  <c:v>43220.041250000002</c:v>
                </c:pt>
                <c:pt idx="147">
                  <c:v>43251.041250000002</c:v>
                </c:pt>
                <c:pt idx="148">
                  <c:v>43280.041250000002</c:v>
                </c:pt>
                <c:pt idx="149">
                  <c:v>43312.041250000002</c:v>
                </c:pt>
                <c:pt idx="150">
                  <c:v>43343.041250000002</c:v>
                </c:pt>
                <c:pt idx="151">
                  <c:v>43371.041250000002</c:v>
                </c:pt>
                <c:pt idx="152">
                  <c:v>43404.041250000002</c:v>
                </c:pt>
                <c:pt idx="153">
                  <c:v>43434.041250000002</c:v>
                </c:pt>
                <c:pt idx="154">
                  <c:v>43465.041250000002</c:v>
                </c:pt>
                <c:pt idx="155">
                  <c:v>43496.041250000002</c:v>
                </c:pt>
                <c:pt idx="156">
                  <c:v>43524.041250000002</c:v>
                </c:pt>
                <c:pt idx="157">
                  <c:v>43553.041250000002</c:v>
                </c:pt>
                <c:pt idx="158">
                  <c:v>43585.041250000002</c:v>
                </c:pt>
                <c:pt idx="159">
                  <c:v>43616.041250000002</c:v>
                </c:pt>
                <c:pt idx="160">
                  <c:v>43644.041250000002</c:v>
                </c:pt>
                <c:pt idx="161">
                  <c:v>43677.041250000002</c:v>
                </c:pt>
                <c:pt idx="162">
                  <c:v>43707.041250000002</c:v>
                </c:pt>
                <c:pt idx="163">
                  <c:v>43738.041250000002</c:v>
                </c:pt>
                <c:pt idx="164">
                  <c:v>43769.041250000002</c:v>
                </c:pt>
                <c:pt idx="165">
                  <c:v>43798.041250000002</c:v>
                </c:pt>
                <c:pt idx="166">
                  <c:v>43830.041250000002</c:v>
                </c:pt>
                <c:pt idx="167">
                  <c:v>43861.041250000002</c:v>
                </c:pt>
                <c:pt idx="168">
                  <c:v>43889.041250000002</c:v>
                </c:pt>
                <c:pt idx="169">
                  <c:v>43921.041250000002</c:v>
                </c:pt>
                <c:pt idx="170">
                  <c:v>43951.041250000002</c:v>
                </c:pt>
                <c:pt idx="171">
                  <c:v>43980.041250000002</c:v>
                </c:pt>
                <c:pt idx="172">
                  <c:v>44012.041250000002</c:v>
                </c:pt>
                <c:pt idx="173">
                  <c:v>44043.041250000002</c:v>
                </c:pt>
                <c:pt idx="174">
                  <c:v>44074.041250000002</c:v>
                </c:pt>
                <c:pt idx="175">
                  <c:v>44104.041250000002</c:v>
                </c:pt>
                <c:pt idx="176">
                  <c:v>44134.041250000002</c:v>
                </c:pt>
                <c:pt idx="177">
                  <c:v>44165.041250000002</c:v>
                </c:pt>
                <c:pt idx="178">
                  <c:v>44196.041250000002</c:v>
                </c:pt>
                <c:pt idx="179">
                  <c:v>44225.041250000002</c:v>
                </c:pt>
                <c:pt idx="180">
                  <c:v>44253.041250000002</c:v>
                </c:pt>
                <c:pt idx="181">
                  <c:v>44286.041250000002</c:v>
                </c:pt>
                <c:pt idx="182">
                  <c:v>44316.041250000002</c:v>
                </c:pt>
                <c:pt idx="183">
                  <c:v>44347.041250000002</c:v>
                </c:pt>
                <c:pt idx="184">
                  <c:v>44377.041250000002</c:v>
                </c:pt>
                <c:pt idx="185">
                  <c:v>44407.041250000002</c:v>
                </c:pt>
                <c:pt idx="186">
                  <c:v>44439.041250000002</c:v>
                </c:pt>
                <c:pt idx="187">
                  <c:v>44469.041250000002</c:v>
                </c:pt>
                <c:pt idx="188">
                  <c:v>44498.041250000002</c:v>
                </c:pt>
                <c:pt idx="189">
                  <c:v>44530.041250000002</c:v>
                </c:pt>
                <c:pt idx="190">
                  <c:v>44561.041250000002</c:v>
                </c:pt>
                <c:pt idx="191">
                  <c:v>44592.041250000002</c:v>
                </c:pt>
                <c:pt idx="192">
                  <c:v>44620.041250000002</c:v>
                </c:pt>
                <c:pt idx="193">
                  <c:v>44651.041250000002</c:v>
                </c:pt>
                <c:pt idx="194">
                  <c:v>44680.041250000002</c:v>
                </c:pt>
                <c:pt idx="195">
                  <c:v>44712.041250000002</c:v>
                </c:pt>
                <c:pt idx="196">
                  <c:v>44742.041250000002</c:v>
                </c:pt>
                <c:pt idx="197">
                  <c:v>44771.041250000002</c:v>
                </c:pt>
                <c:pt idx="198">
                  <c:v>44804.041250000002</c:v>
                </c:pt>
                <c:pt idx="199">
                  <c:v>44834.041250000002</c:v>
                </c:pt>
                <c:pt idx="200">
                  <c:v>44865.041250000002</c:v>
                </c:pt>
                <c:pt idx="201">
                  <c:v>44895.041250000002</c:v>
                </c:pt>
                <c:pt idx="202">
                  <c:v>44925.041250000002</c:v>
                </c:pt>
                <c:pt idx="203">
                  <c:v>44957.041250000002</c:v>
                </c:pt>
                <c:pt idx="204">
                  <c:v>44985.041250000002</c:v>
                </c:pt>
                <c:pt idx="205">
                  <c:v>45016.041250000002</c:v>
                </c:pt>
                <c:pt idx="206">
                  <c:v>45044.041250000002</c:v>
                </c:pt>
                <c:pt idx="207">
                  <c:v>45077.041250000002</c:v>
                </c:pt>
                <c:pt idx="208">
                  <c:v>45107.041250000002</c:v>
                </c:pt>
                <c:pt idx="209">
                  <c:v>45138.041250000002</c:v>
                </c:pt>
                <c:pt idx="210">
                  <c:v>45169.041250000002</c:v>
                </c:pt>
                <c:pt idx="211">
                  <c:v>45198.041250000002</c:v>
                </c:pt>
                <c:pt idx="212">
                  <c:v>45230.041250000002</c:v>
                </c:pt>
                <c:pt idx="213">
                  <c:v>45260.041250000002</c:v>
                </c:pt>
                <c:pt idx="214">
                  <c:v>45289.041250000002</c:v>
                </c:pt>
                <c:pt idx="215">
                  <c:v>45322.041250000002</c:v>
                </c:pt>
                <c:pt idx="216">
                  <c:v>45351.041250000002</c:v>
                </c:pt>
                <c:pt idx="217">
                  <c:v>45378.041250000002</c:v>
                </c:pt>
                <c:pt idx="218">
                  <c:v>45412.041250000002</c:v>
                </c:pt>
                <c:pt idx="219">
                  <c:v>45443.041250000002</c:v>
                </c:pt>
                <c:pt idx="220">
                  <c:v>45471.041250000002</c:v>
                </c:pt>
                <c:pt idx="221">
                  <c:v>45504.041250000002</c:v>
                </c:pt>
                <c:pt idx="222">
                  <c:v>45534.041250000002</c:v>
                </c:pt>
                <c:pt idx="223">
                  <c:v>45565.041250000002</c:v>
                </c:pt>
                <c:pt idx="224">
                  <c:v>45596.041250000002</c:v>
                </c:pt>
                <c:pt idx="225">
                  <c:v>45625.041250000002</c:v>
                </c:pt>
                <c:pt idx="226">
                  <c:v>45657.041250000002</c:v>
                </c:pt>
                <c:pt idx="227">
                  <c:v>45688.041250000002</c:v>
                </c:pt>
                <c:pt idx="228">
                  <c:v>45716.041250000002</c:v>
                </c:pt>
                <c:pt idx="229">
                  <c:v>45747.041250000002</c:v>
                </c:pt>
                <c:pt idx="230">
                  <c:v>45777.041250000002</c:v>
                </c:pt>
                <c:pt idx="231">
                  <c:v>45807.041250000002</c:v>
                </c:pt>
                <c:pt idx="232">
                  <c:v>45838.041250000002</c:v>
                </c:pt>
                <c:pt idx="233">
                  <c:v>45869.041250000002</c:v>
                </c:pt>
                <c:pt idx="234">
                  <c:v>45898.041250000002</c:v>
                </c:pt>
                <c:pt idx="235">
                  <c:v>45930.041250000002</c:v>
                </c:pt>
                <c:pt idx="236">
                  <c:v>45961.041250000002</c:v>
                </c:pt>
                <c:pt idx="237">
                  <c:v>45989.041250000002</c:v>
                </c:pt>
                <c:pt idx="238">
                  <c:v>46022.041250000002</c:v>
                </c:pt>
                <c:pt idx="239">
                  <c:v>46052.041250000002</c:v>
                </c:pt>
                <c:pt idx="240">
                  <c:v>46080.041250000002</c:v>
                </c:pt>
                <c:pt idx="241">
                  <c:v>46112.041250000002</c:v>
                </c:pt>
                <c:pt idx="242">
                  <c:v>46142.041250000002</c:v>
                </c:pt>
                <c:pt idx="243">
                  <c:v>46171.041250000002</c:v>
                </c:pt>
                <c:pt idx="244">
                  <c:v>46203.041250000002</c:v>
                </c:pt>
                <c:pt idx="245">
                  <c:v>46209.041250000002</c:v>
                </c:pt>
              </c:numCache>
            </c:numRef>
          </c:cat>
          <c:val>
            <c:numRef>
              <c:f>report!$R$2:$R$247</c:f>
              <c:numCache>
                <c:formatCode>##,##0.00###########</c:formatCode>
                <c:ptCount val="246"/>
                <c:pt idx="0">
                  <c:v>66.77</c:v>
                </c:pt>
                <c:pt idx="1">
                  <c:v>85.81</c:v>
                </c:pt>
                <c:pt idx="2">
                  <c:v>99.92</c:v>
                </c:pt>
                <c:pt idx="3">
                  <c:v>76.28</c:v>
                </c:pt>
                <c:pt idx="4">
                  <c:v>72.98</c:v>
                </c:pt>
                <c:pt idx="5">
                  <c:v>87.85</c:v>
                </c:pt>
                <c:pt idx="6">
                  <c:v>92.83</c:v>
                </c:pt>
                <c:pt idx="7">
                  <c:v>85.15</c:v>
                </c:pt>
                <c:pt idx="8">
                  <c:v>88.98</c:v>
                </c:pt>
                <c:pt idx="9">
                  <c:v>97.91</c:v>
                </c:pt>
                <c:pt idx="10">
                  <c:v>99.1</c:v>
                </c:pt>
                <c:pt idx="11">
                  <c:v>104.56</c:v>
                </c:pt>
                <c:pt idx="12">
                  <c:v>108.55</c:v>
                </c:pt>
                <c:pt idx="13">
                  <c:v>127.65</c:v>
                </c:pt>
                <c:pt idx="14">
                  <c:v>135.11000000000001</c:v>
                </c:pt>
                <c:pt idx="15">
                  <c:v>127.54</c:v>
                </c:pt>
                <c:pt idx="16">
                  <c:v>128.86000000000001</c:v>
                </c:pt>
                <c:pt idx="17">
                  <c:v>144.04</c:v>
                </c:pt>
                <c:pt idx="18">
                  <c:v>147.33000000000001</c:v>
                </c:pt>
                <c:pt idx="19">
                  <c:v>183.99</c:v>
                </c:pt>
                <c:pt idx="20">
                  <c:v>255.93</c:v>
                </c:pt>
                <c:pt idx="21">
                  <c:v>261.37</c:v>
                </c:pt>
                <c:pt idx="22">
                  <c:v>229.97</c:v>
                </c:pt>
                <c:pt idx="23">
                  <c:v>249.99</c:v>
                </c:pt>
                <c:pt idx="24">
                  <c:v>258.06</c:v>
                </c:pt>
                <c:pt idx="25">
                  <c:v>321.79000000000002</c:v>
                </c:pt>
                <c:pt idx="26">
                  <c:v>309.05</c:v>
                </c:pt>
                <c:pt idx="27">
                  <c:v>304.45999999999998</c:v>
                </c:pt>
                <c:pt idx="28">
                  <c:v>270.14999999999998</c:v>
                </c:pt>
                <c:pt idx="29">
                  <c:v>267.02999999999997</c:v>
                </c:pt>
                <c:pt idx="30">
                  <c:v>169.51</c:v>
                </c:pt>
                <c:pt idx="31">
                  <c:v>130.36000000000001</c:v>
                </c:pt>
                <c:pt idx="32">
                  <c:v>115.55</c:v>
                </c:pt>
                <c:pt idx="33">
                  <c:v>115.47</c:v>
                </c:pt>
                <c:pt idx="34">
                  <c:v>168.73</c:v>
                </c:pt>
                <c:pt idx="35">
                  <c:v>128.91999999999999</c:v>
                </c:pt>
                <c:pt idx="36">
                  <c:v>134.24</c:v>
                </c:pt>
                <c:pt idx="37">
                  <c:v>148.16999999999999</c:v>
                </c:pt>
                <c:pt idx="38">
                  <c:v>150.47</c:v>
                </c:pt>
                <c:pt idx="39">
                  <c:v>199.81</c:v>
                </c:pt>
                <c:pt idx="40">
                  <c:v>210.75</c:v>
                </c:pt>
                <c:pt idx="41">
                  <c:v>210.1</c:v>
                </c:pt>
                <c:pt idx="42">
                  <c:v>207.1</c:v>
                </c:pt>
                <c:pt idx="43">
                  <c:v>226.08</c:v>
                </c:pt>
                <c:pt idx="44">
                  <c:v>244.12</c:v>
                </c:pt>
                <c:pt idx="45">
                  <c:v>301.31</c:v>
                </c:pt>
                <c:pt idx="46">
                  <c:v>278.83999999999997</c:v>
                </c:pt>
                <c:pt idx="47">
                  <c:v>241.95</c:v>
                </c:pt>
                <c:pt idx="48">
                  <c:v>255.83</c:v>
                </c:pt>
                <c:pt idx="49">
                  <c:v>260.76</c:v>
                </c:pt>
                <c:pt idx="50">
                  <c:v>259.58</c:v>
                </c:pt>
                <c:pt idx="51">
                  <c:v>235.72</c:v>
                </c:pt>
                <c:pt idx="52">
                  <c:v>252.14</c:v>
                </c:pt>
                <c:pt idx="53">
                  <c:v>264.52</c:v>
                </c:pt>
                <c:pt idx="54">
                  <c:v>278.56</c:v>
                </c:pt>
                <c:pt idx="55">
                  <c:v>307.75</c:v>
                </c:pt>
                <c:pt idx="56">
                  <c:v>349.87</c:v>
                </c:pt>
                <c:pt idx="57">
                  <c:v>391.09</c:v>
                </c:pt>
                <c:pt idx="58">
                  <c:v>450.14</c:v>
                </c:pt>
                <c:pt idx="59">
                  <c:v>402.17</c:v>
                </c:pt>
                <c:pt idx="60">
                  <c:v>420.92</c:v>
                </c:pt>
                <c:pt idx="61">
                  <c:v>438.2</c:v>
                </c:pt>
                <c:pt idx="62">
                  <c:v>448.26</c:v>
                </c:pt>
                <c:pt idx="63">
                  <c:v>450.54</c:v>
                </c:pt>
                <c:pt idx="64">
                  <c:v>441.34</c:v>
                </c:pt>
                <c:pt idx="65">
                  <c:v>506.19</c:v>
                </c:pt>
                <c:pt idx="66">
                  <c:v>589.5</c:v>
                </c:pt>
                <c:pt idx="67">
                  <c:v>511.51</c:v>
                </c:pt>
                <c:pt idx="68">
                  <c:v>536.01</c:v>
                </c:pt>
                <c:pt idx="69">
                  <c:v>620.92999999999995</c:v>
                </c:pt>
                <c:pt idx="70">
                  <c:v>611.49</c:v>
                </c:pt>
                <c:pt idx="71">
                  <c:v>623.59</c:v>
                </c:pt>
                <c:pt idx="72">
                  <c:v>637.41</c:v>
                </c:pt>
                <c:pt idx="73">
                  <c:v>620.41</c:v>
                </c:pt>
                <c:pt idx="74">
                  <c:v>609.01</c:v>
                </c:pt>
                <c:pt idx="75">
                  <c:v>548.23</c:v>
                </c:pt>
                <c:pt idx="76">
                  <c:v>574.47</c:v>
                </c:pt>
                <c:pt idx="77">
                  <c:v>548.01</c:v>
                </c:pt>
                <c:pt idx="78">
                  <c:v>538.66999999999996</c:v>
                </c:pt>
                <c:pt idx="79">
                  <c:v>634.08000000000004</c:v>
                </c:pt>
                <c:pt idx="80">
                  <c:v>652.35</c:v>
                </c:pt>
                <c:pt idx="81">
                  <c:v>646.13</c:v>
                </c:pt>
                <c:pt idx="82">
                  <c:v>650.92999999999995</c:v>
                </c:pt>
                <c:pt idx="83">
                  <c:v>624.52</c:v>
                </c:pt>
                <c:pt idx="84">
                  <c:v>589.61</c:v>
                </c:pt>
                <c:pt idx="85">
                  <c:v>586.41999999999996</c:v>
                </c:pt>
                <c:pt idx="86">
                  <c:v>506.97</c:v>
                </c:pt>
                <c:pt idx="87">
                  <c:v>485.28</c:v>
                </c:pt>
                <c:pt idx="88">
                  <c:v>391.64</c:v>
                </c:pt>
                <c:pt idx="89">
                  <c:v>401.45</c:v>
                </c:pt>
                <c:pt idx="90">
                  <c:v>407.8</c:v>
                </c:pt>
                <c:pt idx="91">
                  <c:v>384.87</c:v>
                </c:pt>
                <c:pt idx="92">
                  <c:v>381.75</c:v>
                </c:pt>
                <c:pt idx="93">
                  <c:v>335.93</c:v>
                </c:pt>
                <c:pt idx="94">
                  <c:v>324.18</c:v>
                </c:pt>
                <c:pt idx="95">
                  <c:v>313.14999999999998</c:v>
                </c:pt>
                <c:pt idx="96">
                  <c:v>321.85000000000002</c:v>
                </c:pt>
                <c:pt idx="97">
                  <c:v>341.2</c:v>
                </c:pt>
                <c:pt idx="98">
                  <c:v>304.52999999999997</c:v>
                </c:pt>
                <c:pt idx="99">
                  <c:v>311.08</c:v>
                </c:pt>
                <c:pt idx="100">
                  <c:v>324.41000000000003</c:v>
                </c:pt>
                <c:pt idx="101">
                  <c:v>330.4</c:v>
                </c:pt>
                <c:pt idx="102">
                  <c:v>331.8</c:v>
                </c:pt>
                <c:pt idx="103">
                  <c:v>307.16000000000003</c:v>
                </c:pt>
                <c:pt idx="104">
                  <c:v>302.22000000000003</c:v>
                </c:pt>
                <c:pt idx="105">
                  <c:v>304.07</c:v>
                </c:pt>
                <c:pt idx="106">
                  <c:v>288.51</c:v>
                </c:pt>
                <c:pt idx="107">
                  <c:v>295.88</c:v>
                </c:pt>
                <c:pt idx="108">
                  <c:v>317.72000000000003</c:v>
                </c:pt>
                <c:pt idx="109">
                  <c:v>265.42</c:v>
                </c:pt>
                <c:pt idx="110">
                  <c:v>260.20999999999998</c:v>
                </c:pt>
                <c:pt idx="111">
                  <c:v>271.44</c:v>
                </c:pt>
                <c:pt idx="112">
                  <c:v>255.95</c:v>
                </c:pt>
                <c:pt idx="113">
                  <c:v>244.57</c:v>
                </c:pt>
                <c:pt idx="114">
                  <c:v>238.42</c:v>
                </c:pt>
                <c:pt idx="115">
                  <c:v>230.43</c:v>
                </c:pt>
                <c:pt idx="116">
                  <c:v>219.6</c:v>
                </c:pt>
                <c:pt idx="117">
                  <c:v>207.42</c:v>
                </c:pt>
                <c:pt idx="118">
                  <c:v>177.22</c:v>
                </c:pt>
                <c:pt idx="119">
                  <c:v>171.99</c:v>
                </c:pt>
                <c:pt idx="120">
                  <c:v>213.14</c:v>
                </c:pt>
                <c:pt idx="121">
                  <c:v>217.23</c:v>
                </c:pt>
                <c:pt idx="122">
                  <c:v>268.95</c:v>
                </c:pt>
                <c:pt idx="123">
                  <c:v>294.38</c:v>
                </c:pt>
                <c:pt idx="124">
                  <c:v>435.52</c:v>
                </c:pt>
                <c:pt idx="125">
                  <c:v>482.44</c:v>
                </c:pt>
                <c:pt idx="126">
                  <c:v>435.63</c:v>
                </c:pt>
                <c:pt idx="127">
                  <c:v>466.08</c:v>
                </c:pt>
                <c:pt idx="128">
                  <c:v>458.39</c:v>
                </c:pt>
                <c:pt idx="129">
                  <c:v>441.78</c:v>
                </c:pt>
                <c:pt idx="130">
                  <c:v>386.06</c:v>
                </c:pt>
                <c:pt idx="131">
                  <c:v>493.14</c:v>
                </c:pt>
                <c:pt idx="132">
                  <c:v>477.32</c:v>
                </c:pt>
                <c:pt idx="133">
                  <c:v>483.01</c:v>
                </c:pt>
                <c:pt idx="134">
                  <c:v>458.15</c:v>
                </c:pt>
                <c:pt idx="135">
                  <c:v>405.41</c:v>
                </c:pt>
                <c:pt idx="136">
                  <c:v>409.53</c:v>
                </c:pt>
                <c:pt idx="137">
                  <c:v>437.67</c:v>
                </c:pt>
                <c:pt idx="138">
                  <c:v>464.53</c:v>
                </c:pt>
                <c:pt idx="139">
                  <c:v>452.31</c:v>
                </c:pt>
                <c:pt idx="140">
                  <c:v>445.69</c:v>
                </c:pt>
                <c:pt idx="141">
                  <c:v>390.94</c:v>
                </c:pt>
                <c:pt idx="142">
                  <c:v>409.65</c:v>
                </c:pt>
                <c:pt idx="143">
                  <c:v>431.35</c:v>
                </c:pt>
                <c:pt idx="144">
                  <c:v>411.94</c:v>
                </c:pt>
                <c:pt idx="145">
                  <c:v>367.26</c:v>
                </c:pt>
                <c:pt idx="146">
                  <c:v>392.54</c:v>
                </c:pt>
                <c:pt idx="147">
                  <c:v>336.88</c:v>
                </c:pt>
                <c:pt idx="148">
                  <c:v>356.04</c:v>
                </c:pt>
                <c:pt idx="149">
                  <c:v>316.01</c:v>
                </c:pt>
                <c:pt idx="150">
                  <c:v>323.67</c:v>
                </c:pt>
                <c:pt idx="151">
                  <c:v>322.37</c:v>
                </c:pt>
                <c:pt idx="152">
                  <c:v>286.3</c:v>
                </c:pt>
                <c:pt idx="153">
                  <c:v>231.88</c:v>
                </c:pt>
                <c:pt idx="154">
                  <c:v>239.94</c:v>
                </c:pt>
                <c:pt idx="155">
                  <c:v>261.05</c:v>
                </c:pt>
                <c:pt idx="156">
                  <c:v>255.4</c:v>
                </c:pt>
                <c:pt idx="157">
                  <c:v>242.58</c:v>
                </c:pt>
                <c:pt idx="158">
                  <c:v>217.57</c:v>
                </c:pt>
                <c:pt idx="159">
                  <c:v>219.31</c:v>
                </c:pt>
                <c:pt idx="160">
                  <c:v>248.3</c:v>
                </c:pt>
                <c:pt idx="161">
                  <c:v>177.39</c:v>
                </c:pt>
                <c:pt idx="162">
                  <c:v>240.62</c:v>
                </c:pt>
                <c:pt idx="163">
                  <c:v>262.67</c:v>
                </c:pt>
                <c:pt idx="164">
                  <c:v>230.84</c:v>
                </c:pt>
                <c:pt idx="165">
                  <c:v>207.3</c:v>
                </c:pt>
                <c:pt idx="166">
                  <c:v>198.21</c:v>
                </c:pt>
                <c:pt idx="167">
                  <c:v>197.37</c:v>
                </c:pt>
                <c:pt idx="168">
                  <c:v>177.44</c:v>
                </c:pt>
                <c:pt idx="169">
                  <c:v>157.88</c:v>
                </c:pt>
                <c:pt idx="170">
                  <c:v>186.08</c:v>
                </c:pt>
                <c:pt idx="171">
                  <c:v>210.87</c:v>
                </c:pt>
                <c:pt idx="172">
                  <c:v>234.65</c:v>
                </c:pt>
                <c:pt idx="173">
                  <c:v>332.09</c:v>
                </c:pt>
                <c:pt idx="174">
                  <c:v>365.05</c:v>
                </c:pt>
                <c:pt idx="175">
                  <c:v>357.29</c:v>
                </c:pt>
                <c:pt idx="176">
                  <c:v>337.76</c:v>
                </c:pt>
                <c:pt idx="177">
                  <c:v>296.58999999999997</c:v>
                </c:pt>
                <c:pt idx="178">
                  <c:v>336.78</c:v>
                </c:pt>
                <c:pt idx="179">
                  <c:v>306.75</c:v>
                </c:pt>
                <c:pt idx="180">
                  <c:v>287.14999999999998</c:v>
                </c:pt>
                <c:pt idx="181">
                  <c:v>263.63</c:v>
                </c:pt>
                <c:pt idx="182">
                  <c:v>260.87</c:v>
                </c:pt>
                <c:pt idx="183">
                  <c:v>302.58999999999997</c:v>
                </c:pt>
                <c:pt idx="184">
                  <c:v>275.16000000000003</c:v>
                </c:pt>
                <c:pt idx="185">
                  <c:v>280.7</c:v>
                </c:pt>
                <c:pt idx="186">
                  <c:v>284.58999999999997</c:v>
                </c:pt>
                <c:pt idx="187">
                  <c:v>243.3</c:v>
                </c:pt>
                <c:pt idx="188">
                  <c:v>263.99</c:v>
                </c:pt>
                <c:pt idx="189">
                  <c:v>262.89</c:v>
                </c:pt>
                <c:pt idx="190">
                  <c:v>235.56</c:v>
                </c:pt>
                <c:pt idx="191">
                  <c:v>220.99</c:v>
                </c:pt>
                <c:pt idx="192">
                  <c:v>255.62</c:v>
                </c:pt>
                <c:pt idx="193">
                  <c:v>251.29</c:v>
                </c:pt>
                <c:pt idx="194">
                  <c:v>224.71</c:v>
                </c:pt>
                <c:pt idx="195">
                  <c:v>231.45</c:v>
                </c:pt>
                <c:pt idx="196">
                  <c:v>186.2</c:v>
                </c:pt>
                <c:pt idx="197">
                  <c:v>205.08</c:v>
                </c:pt>
                <c:pt idx="198">
                  <c:v>165.59</c:v>
                </c:pt>
                <c:pt idx="199">
                  <c:v>195.78</c:v>
                </c:pt>
                <c:pt idx="200">
                  <c:v>224.76</c:v>
                </c:pt>
                <c:pt idx="201">
                  <c:v>259.38</c:v>
                </c:pt>
                <c:pt idx="202">
                  <c:v>239.66</c:v>
                </c:pt>
                <c:pt idx="203">
                  <c:v>268.36</c:v>
                </c:pt>
                <c:pt idx="204">
                  <c:v>218.91</c:v>
                </c:pt>
                <c:pt idx="205">
                  <c:v>265.8</c:v>
                </c:pt>
                <c:pt idx="206">
                  <c:v>276.29000000000002</c:v>
                </c:pt>
                <c:pt idx="207">
                  <c:v>270.68</c:v>
                </c:pt>
                <c:pt idx="208">
                  <c:v>240.43</c:v>
                </c:pt>
                <c:pt idx="209">
                  <c:v>239.43</c:v>
                </c:pt>
                <c:pt idx="210">
                  <c:v>241.16</c:v>
                </c:pt>
                <c:pt idx="211">
                  <c:v>205.45</c:v>
                </c:pt>
                <c:pt idx="212">
                  <c:v>201.27</c:v>
                </c:pt>
                <c:pt idx="213">
                  <c:v>254.75</c:v>
                </c:pt>
                <c:pt idx="214">
                  <c:v>248.24</c:v>
                </c:pt>
                <c:pt idx="215">
                  <c:v>226.34</c:v>
                </c:pt>
                <c:pt idx="216">
                  <c:v>213.58</c:v>
                </c:pt>
                <c:pt idx="217">
                  <c:v>234.97</c:v>
                </c:pt>
                <c:pt idx="218">
                  <c:v>248.61</c:v>
                </c:pt>
                <c:pt idx="219">
                  <c:v>268.52</c:v>
                </c:pt>
                <c:pt idx="220">
                  <c:v>237.75</c:v>
                </c:pt>
                <c:pt idx="221">
                  <c:v>272.18</c:v>
                </c:pt>
                <c:pt idx="222">
                  <c:v>236.34</c:v>
                </c:pt>
                <c:pt idx="223">
                  <c:v>261.33999999999997</c:v>
                </c:pt>
                <c:pt idx="224">
                  <c:v>314.31</c:v>
                </c:pt>
                <c:pt idx="225">
                  <c:v>293.12</c:v>
                </c:pt>
                <c:pt idx="226">
                  <c:v>266.2</c:v>
                </c:pt>
                <c:pt idx="227">
                  <c:v>293.14999999999998</c:v>
                </c:pt>
                <c:pt idx="228">
                  <c:v>314.45</c:v>
                </c:pt>
                <c:pt idx="229">
                  <c:v>379.7</c:v>
                </c:pt>
                <c:pt idx="230">
                  <c:v>391.09</c:v>
                </c:pt>
                <c:pt idx="231">
                  <c:v>409.94</c:v>
                </c:pt>
                <c:pt idx="232">
                  <c:v>521.75</c:v>
                </c:pt>
                <c:pt idx="233">
                  <c:v>497.25</c:v>
                </c:pt>
                <c:pt idx="234">
                  <c:v>608.48</c:v>
                </c:pt>
                <c:pt idx="235">
                  <c:v>818.5</c:v>
                </c:pt>
                <c:pt idx="236">
                  <c:v>769.09</c:v>
                </c:pt>
                <c:pt idx="237">
                  <c:v>772.78</c:v>
                </c:pt>
                <c:pt idx="238">
                  <c:v>946.74</c:v>
                </c:pt>
                <c:pt idx="239">
                  <c:v>1012.8</c:v>
                </c:pt>
                <c:pt idx="240">
                  <c:v>1093.6400000000001</c:v>
                </c:pt>
                <c:pt idx="241">
                  <c:v>796.61</c:v>
                </c:pt>
                <c:pt idx="242">
                  <c:v>880.7</c:v>
                </c:pt>
                <c:pt idx="243">
                  <c:v>1008.32</c:v>
                </c:pt>
                <c:pt idx="244">
                  <c:v>764.28</c:v>
                </c:pt>
                <c:pt idx="245">
                  <c:v>781.55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F7-4A9E-8B7E-2E52E3D02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378480"/>
        <c:axId val="1929293168"/>
      </c:lineChart>
      <c:dateAx>
        <c:axId val="86378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9293168"/>
        <c:crosses val="autoZero"/>
        <c:auto val="0"/>
        <c:lblOffset val="100"/>
        <c:baseTimeUnit val="months"/>
        <c:majorUnit val="2"/>
        <c:majorTimeUnit val="years"/>
      </c:dateAx>
      <c:valAx>
        <c:axId val="192929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Precio (MXN)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637848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WALMART — Precio de cierre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report!$T$1</c:f>
              <c:strCache>
                <c:ptCount val="1"/>
                <c:pt idx="0">
                  <c:v>WALMART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report!$A$2:$A$247</c:f>
              <c:numCache>
                <c:formatCode>m/d/yyyy</c:formatCode>
                <c:ptCount val="246"/>
                <c:pt idx="0">
                  <c:v>38776.041250000002</c:v>
                </c:pt>
                <c:pt idx="1">
                  <c:v>38807.041250000002</c:v>
                </c:pt>
                <c:pt idx="2">
                  <c:v>38835.041250000002</c:v>
                </c:pt>
                <c:pt idx="3">
                  <c:v>38868.041250000002</c:v>
                </c:pt>
                <c:pt idx="4">
                  <c:v>38898.041250000002</c:v>
                </c:pt>
                <c:pt idx="5">
                  <c:v>38929.041250000002</c:v>
                </c:pt>
                <c:pt idx="6">
                  <c:v>38960.041250000002</c:v>
                </c:pt>
                <c:pt idx="7">
                  <c:v>38989.041250000002</c:v>
                </c:pt>
                <c:pt idx="8">
                  <c:v>39021.041250000002</c:v>
                </c:pt>
                <c:pt idx="9">
                  <c:v>39051.041250000002</c:v>
                </c:pt>
                <c:pt idx="10">
                  <c:v>39080.041250000002</c:v>
                </c:pt>
                <c:pt idx="11">
                  <c:v>39113.041250000002</c:v>
                </c:pt>
                <c:pt idx="12">
                  <c:v>39141.041250000002</c:v>
                </c:pt>
                <c:pt idx="13">
                  <c:v>39171.041250000002</c:v>
                </c:pt>
                <c:pt idx="14">
                  <c:v>39202.041250000002</c:v>
                </c:pt>
                <c:pt idx="15">
                  <c:v>39233.041250000002</c:v>
                </c:pt>
                <c:pt idx="16">
                  <c:v>39262.041250000002</c:v>
                </c:pt>
                <c:pt idx="17">
                  <c:v>39294.041250000002</c:v>
                </c:pt>
                <c:pt idx="18">
                  <c:v>39325.041250000002</c:v>
                </c:pt>
                <c:pt idx="19">
                  <c:v>39353.041250000002</c:v>
                </c:pt>
                <c:pt idx="20">
                  <c:v>39386.041250000002</c:v>
                </c:pt>
                <c:pt idx="21">
                  <c:v>39416.041250000002</c:v>
                </c:pt>
                <c:pt idx="22">
                  <c:v>39447.041250000002</c:v>
                </c:pt>
                <c:pt idx="23">
                  <c:v>39478.041250000002</c:v>
                </c:pt>
                <c:pt idx="24">
                  <c:v>39507.041250000002</c:v>
                </c:pt>
                <c:pt idx="25">
                  <c:v>39538.041250000002</c:v>
                </c:pt>
                <c:pt idx="26">
                  <c:v>39568.041250000002</c:v>
                </c:pt>
                <c:pt idx="27">
                  <c:v>39598.041250000002</c:v>
                </c:pt>
                <c:pt idx="28">
                  <c:v>39629.041250000002</c:v>
                </c:pt>
                <c:pt idx="29">
                  <c:v>39660.041250000002</c:v>
                </c:pt>
                <c:pt idx="30">
                  <c:v>39689.041250000002</c:v>
                </c:pt>
                <c:pt idx="31">
                  <c:v>39721.041250000002</c:v>
                </c:pt>
                <c:pt idx="32">
                  <c:v>39752.041250000002</c:v>
                </c:pt>
                <c:pt idx="33">
                  <c:v>39780.041250000002</c:v>
                </c:pt>
                <c:pt idx="34">
                  <c:v>39813.041250000002</c:v>
                </c:pt>
                <c:pt idx="35">
                  <c:v>39843.041250000002</c:v>
                </c:pt>
                <c:pt idx="36">
                  <c:v>39871.041250000002</c:v>
                </c:pt>
                <c:pt idx="37">
                  <c:v>39903.041250000002</c:v>
                </c:pt>
                <c:pt idx="38">
                  <c:v>39933.041250000002</c:v>
                </c:pt>
                <c:pt idx="39">
                  <c:v>39962.041250000002</c:v>
                </c:pt>
                <c:pt idx="40">
                  <c:v>39994.041250000002</c:v>
                </c:pt>
                <c:pt idx="41">
                  <c:v>40025.041250000002</c:v>
                </c:pt>
                <c:pt idx="42">
                  <c:v>40056.041250000002</c:v>
                </c:pt>
                <c:pt idx="43">
                  <c:v>40086.041250000002</c:v>
                </c:pt>
                <c:pt idx="44">
                  <c:v>40116.041250000002</c:v>
                </c:pt>
                <c:pt idx="45">
                  <c:v>40147.041250000002</c:v>
                </c:pt>
                <c:pt idx="46">
                  <c:v>40178.041250000002</c:v>
                </c:pt>
                <c:pt idx="47">
                  <c:v>40207.041250000002</c:v>
                </c:pt>
                <c:pt idx="48">
                  <c:v>40235.041250000002</c:v>
                </c:pt>
                <c:pt idx="49">
                  <c:v>40268.041250000002</c:v>
                </c:pt>
                <c:pt idx="50">
                  <c:v>40298.041250000002</c:v>
                </c:pt>
                <c:pt idx="51">
                  <c:v>40329.041250000002</c:v>
                </c:pt>
                <c:pt idx="52">
                  <c:v>40359.041250000002</c:v>
                </c:pt>
                <c:pt idx="53">
                  <c:v>40389.041250000002</c:v>
                </c:pt>
                <c:pt idx="54">
                  <c:v>40421.041250000002</c:v>
                </c:pt>
                <c:pt idx="55">
                  <c:v>40451.041250000002</c:v>
                </c:pt>
                <c:pt idx="56">
                  <c:v>40480.041250000002</c:v>
                </c:pt>
                <c:pt idx="57">
                  <c:v>40512.041250000002</c:v>
                </c:pt>
                <c:pt idx="58">
                  <c:v>40543.041250000002</c:v>
                </c:pt>
                <c:pt idx="59">
                  <c:v>40574.041250000002</c:v>
                </c:pt>
                <c:pt idx="60">
                  <c:v>40602.041250000002</c:v>
                </c:pt>
                <c:pt idx="61">
                  <c:v>40633.041250000002</c:v>
                </c:pt>
                <c:pt idx="62">
                  <c:v>40662.041250000002</c:v>
                </c:pt>
                <c:pt idx="63">
                  <c:v>40694.041250000002</c:v>
                </c:pt>
                <c:pt idx="64">
                  <c:v>40724.041250000002</c:v>
                </c:pt>
                <c:pt idx="65">
                  <c:v>40753.041250000002</c:v>
                </c:pt>
                <c:pt idx="66">
                  <c:v>40786.041250000002</c:v>
                </c:pt>
                <c:pt idx="67">
                  <c:v>40816.041250000002</c:v>
                </c:pt>
                <c:pt idx="68">
                  <c:v>40847.041250000002</c:v>
                </c:pt>
                <c:pt idx="69">
                  <c:v>40877.041250000002</c:v>
                </c:pt>
                <c:pt idx="70">
                  <c:v>40907.041250000002</c:v>
                </c:pt>
                <c:pt idx="71">
                  <c:v>40939.041250000002</c:v>
                </c:pt>
                <c:pt idx="72">
                  <c:v>40968.041250000002</c:v>
                </c:pt>
                <c:pt idx="73">
                  <c:v>40998.041250000002</c:v>
                </c:pt>
                <c:pt idx="74">
                  <c:v>41029.041250000002</c:v>
                </c:pt>
                <c:pt idx="75">
                  <c:v>41060.041250000002</c:v>
                </c:pt>
                <c:pt idx="76">
                  <c:v>41089.041250000002</c:v>
                </c:pt>
                <c:pt idx="77">
                  <c:v>41121.041250000002</c:v>
                </c:pt>
                <c:pt idx="78">
                  <c:v>41152.041250000002</c:v>
                </c:pt>
                <c:pt idx="79">
                  <c:v>41180.041250000002</c:v>
                </c:pt>
                <c:pt idx="80">
                  <c:v>41213.041250000002</c:v>
                </c:pt>
                <c:pt idx="81">
                  <c:v>41243.041250000002</c:v>
                </c:pt>
                <c:pt idx="82">
                  <c:v>41274.041250000002</c:v>
                </c:pt>
                <c:pt idx="83">
                  <c:v>41305.041250000002</c:v>
                </c:pt>
                <c:pt idx="84">
                  <c:v>41333.041250000002</c:v>
                </c:pt>
                <c:pt idx="85">
                  <c:v>41360.041250000002</c:v>
                </c:pt>
                <c:pt idx="86">
                  <c:v>41394.041250000002</c:v>
                </c:pt>
                <c:pt idx="87">
                  <c:v>41425.041250000002</c:v>
                </c:pt>
                <c:pt idx="88">
                  <c:v>41453.041250000002</c:v>
                </c:pt>
                <c:pt idx="89">
                  <c:v>41486.041250000002</c:v>
                </c:pt>
                <c:pt idx="90">
                  <c:v>41516.041250000002</c:v>
                </c:pt>
                <c:pt idx="91">
                  <c:v>41547.041250000002</c:v>
                </c:pt>
                <c:pt idx="92">
                  <c:v>41578.041250000002</c:v>
                </c:pt>
                <c:pt idx="93">
                  <c:v>41607.041250000002</c:v>
                </c:pt>
                <c:pt idx="94">
                  <c:v>41639.041250000002</c:v>
                </c:pt>
                <c:pt idx="95">
                  <c:v>41670.041250000002</c:v>
                </c:pt>
                <c:pt idx="96">
                  <c:v>41698.041250000002</c:v>
                </c:pt>
                <c:pt idx="97">
                  <c:v>41729.041250000002</c:v>
                </c:pt>
                <c:pt idx="98">
                  <c:v>41759.041250000002</c:v>
                </c:pt>
                <c:pt idx="99">
                  <c:v>41789.041250000002</c:v>
                </c:pt>
                <c:pt idx="100">
                  <c:v>41820.041250000002</c:v>
                </c:pt>
                <c:pt idx="101">
                  <c:v>41851.041250000002</c:v>
                </c:pt>
                <c:pt idx="102">
                  <c:v>41880.041250000002</c:v>
                </c:pt>
                <c:pt idx="103">
                  <c:v>41912.041250000002</c:v>
                </c:pt>
                <c:pt idx="104">
                  <c:v>41943.041250000002</c:v>
                </c:pt>
                <c:pt idx="105">
                  <c:v>41971.041250000002</c:v>
                </c:pt>
                <c:pt idx="106">
                  <c:v>42004.041250000002</c:v>
                </c:pt>
                <c:pt idx="107">
                  <c:v>42034.041250000002</c:v>
                </c:pt>
                <c:pt idx="108">
                  <c:v>42062.041250000002</c:v>
                </c:pt>
                <c:pt idx="109">
                  <c:v>42094.041250000002</c:v>
                </c:pt>
                <c:pt idx="110">
                  <c:v>42124.041250000002</c:v>
                </c:pt>
                <c:pt idx="111">
                  <c:v>42153.041250000002</c:v>
                </c:pt>
                <c:pt idx="112">
                  <c:v>42185.041250000002</c:v>
                </c:pt>
                <c:pt idx="113">
                  <c:v>42216.041250000002</c:v>
                </c:pt>
                <c:pt idx="114">
                  <c:v>42247.041250000002</c:v>
                </c:pt>
                <c:pt idx="115">
                  <c:v>42277.041250000002</c:v>
                </c:pt>
                <c:pt idx="116">
                  <c:v>42307.041250000002</c:v>
                </c:pt>
                <c:pt idx="117">
                  <c:v>42338.041250000002</c:v>
                </c:pt>
                <c:pt idx="118">
                  <c:v>42369.041250000002</c:v>
                </c:pt>
                <c:pt idx="119">
                  <c:v>42398.041250000002</c:v>
                </c:pt>
                <c:pt idx="120">
                  <c:v>42429.041250000002</c:v>
                </c:pt>
                <c:pt idx="121">
                  <c:v>42460.041250000002</c:v>
                </c:pt>
                <c:pt idx="122">
                  <c:v>42489.041250000002</c:v>
                </c:pt>
                <c:pt idx="123">
                  <c:v>42521.041250000002</c:v>
                </c:pt>
                <c:pt idx="124">
                  <c:v>42551.041250000002</c:v>
                </c:pt>
                <c:pt idx="125">
                  <c:v>42580.041250000002</c:v>
                </c:pt>
                <c:pt idx="126">
                  <c:v>42613.041250000002</c:v>
                </c:pt>
                <c:pt idx="127">
                  <c:v>42643.041250000002</c:v>
                </c:pt>
                <c:pt idx="128">
                  <c:v>42674.041250000002</c:v>
                </c:pt>
                <c:pt idx="129">
                  <c:v>42704.041250000002</c:v>
                </c:pt>
                <c:pt idx="130">
                  <c:v>42734.041250000002</c:v>
                </c:pt>
                <c:pt idx="131">
                  <c:v>42766.041250000002</c:v>
                </c:pt>
                <c:pt idx="132">
                  <c:v>42794.041250000002</c:v>
                </c:pt>
                <c:pt idx="133">
                  <c:v>42825.041250000002</c:v>
                </c:pt>
                <c:pt idx="134">
                  <c:v>42853.041250000002</c:v>
                </c:pt>
                <c:pt idx="135">
                  <c:v>42886.041250000002</c:v>
                </c:pt>
                <c:pt idx="136">
                  <c:v>42916.041250000002</c:v>
                </c:pt>
                <c:pt idx="137">
                  <c:v>42947.041250000002</c:v>
                </c:pt>
                <c:pt idx="138">
                  <c:v>42978.041250000002</c:v>
                </c:pt>
                <c:pt idx="139">
                  <c:v>43007.041250000002</c:v>
                </c:pt>
                <c:pt idx="140">
                  <c:v>43039.041250000002</c:v>
                </c:pt>
                <c:pt idx="141">
                  <c:v>43069.041250000002</c:v>
                </c:pt>
                <c:pt idx="142">
                  <c:v>43098.041250000002</c:v>
                </c:pt>
                <c:pt idx="143">
                  <c:v>43131.041250000002</c:v>
                </c:pt>
                <c:pt idx="144">
                  <c:v>43159.041250000002</c:v>
                </c:pt>
                <c:pt idx="145">
                  <c:v>43187.041250000002</c:v>
                </c:pt>
                <c:pt idx="146">
                  <c:v>43220.041250000002</c:v>
                </c:pt>
                <c:pt idx="147">
                  <c:v>43251.041250000002</c:v>
                </c:pt>
                <c:pt idx="148">
                  <c:v>43280.041250000002</c:v>
                </c:pt>
                <c:pt idx="149">
                  <c:v>43312.041250000002</c:v>
                </c:pt>
                <c:pt idx="150">
                  <c:v>43343.041250000002</c:v>
                </c:pt>
                <c:pt idx="151">
                  <c:v>43371.041250000002</c:v>
                </c:pt>
                <c:pt idx="152">
                  <c:v>43404.041250000002</c:v>
                </c:pt>
                <c:pt idx="153">
                  <c:v>43434.041250000002</c:v>
                </c:pt>
                <c:pt idx="154">
                  <c:v>43465.041250000002</c:v>
                </c:pt>
                <c:pt idx="155">
                  <c:v>43496.041250000002</c:v>
                </c:pt>
                <c:pt idx="156">
                  <c:v>43524.041250000002</c:v>
                </c:pt>
                <c:pt idx="157">
                  <c:v>43553.041250000002</c:v>
                </c:pt>
                <c:pt idx="158">
                  <c:v>43585.041250000002</c:v>
                </c:pt>
                <c:pt idx="159">
                  <c:v>43616.041250000002</c:v>
                </c:pt>
                <c:pt idx="160">
                  <c:v>43644.041250000002</c:v>
                </c:pt>
                <c:pt idx="161">
                  <c:v>43677.041250000002</c:v>
                </c:pt>
                <c:pt idx="162">
                  <c:v>43707.041250000002</c:v>
                </c:pt>
                <c:pt idx="163">
                  <c:v>43738.041250000002</c:v>
                </c:pt>
                <c:pt idx="164">
                  <c:v>43769.041250000002</c:v>
                </c:pt>
                <c:pt idx="165">
                  <c:v>43798.041250000002</c:v>
                </c:pt>
                <c:pt idx="166">
                  <c:v>43830.041250000002</c:v>
                </c:pt>
                <c:pt idx="167">
                  <c:v>43861.041250000002</c:v>
                </c:pt>
                <c:pt idx="168">
                  <c:v>43889.041250000002</c:v>
                </c:pt>
                <c:pt idx="169">
                  <c:v>43921.041250000002</c:v>
                </c:pt>
                <c:pt idx="170">
                  <c:v>43951.041250000002</c:v>
                </c:pt>
                <c:pt idx="171">
                  <c:v>43980.041250000002</c:v>
                </c:pt>
                <c:pt idx="172">
                  <c:v>44012.041250000002</c:v>
                </c:pt>
                <c:pt idx="173">
                  <c:v>44043.041250000002</c:v>
                </c:pt>
                <c:pt idx="174">
                  <c:v>44074.041250000002</c:v>
                </c:pt>
                <c:pt idx="175">
                  <c:v>44104.041250000002</c:v>
                </c:pt>
                <c:pt idx="176">
                  <c:v>44134.041250000002</c:v>
                </c:pt>
                <c:pt idx="177">
                  <c:v>44165.041250000002</c:v>
                </c:pt>
                <c:pt idx="178">
                  <c:v>44196.041250000002</c:v>
                </c:pt>
                <c:pt idx="179">
                  <c:v>44225.041250000002</c:v>
                </c:pt>
                <c:pt idx="180">
                  <c:v>44253.041250000002</c:v>
                </c:pt>
                <c:pt idx="181">
                  <c:v>44286.041250000002</c:v>
                </c:pt>
                <c:pt idx="182">
                  <c:v>44316.041250000002</c:v>
                </c:pt>
                <c:pt idx="183">
                  <c:v>44347.041250000002</c:v>
                </c:pt>
                <c:pt idx="184">
                  <c:v>44377.041250000002</c:v>
                </c:pt>
                <c:pt idx="185">
                  <c:v>44407.041250000002</c:v>
                </c:pt>
                <c:pt idx="186">
                  <c:v>44439.041250000002</c:v>
                </c:pt>
                <c:pt idx="187">
                  <c:v>44469.041250000002</c:v>
                </c:pt>
                <c:pt idx="188">
                  <c:v>44498.041250000002</c:v>
                </c:pt>
                <c:pt idx="189">
                  <c:v>44530.041250000002</c:v>
                </c:pt>
                <c:pt idx="190">
                  <c:v>44561.041250000002</c:v>
                </c:pt>
                <c:pt idx="191">
                  <c:v>44592.041250000002</c:v>
                </c:pt>
                <c:pt idx="192">
                  <c:v>44620.041250000002</c:v>
                </c:pt>
                <c:pt idx="193">
                  <c:v>44651.041250000002</c:v>
                </c:pt>
                <c:pt idx="194">
                  <c:v>44680.041250000002</c:v>
                </c:pt>
                <c:pt idx="195">
                  <c:v>44712.041250000002</c:v>
                </c:pt>
                <c:pt idx="196">
                  <c:v>44742.041250000002</c:v>
                </c:pt>
                <c:pt idx="197">
                  <c:v>44771.041250000002</c:v>
                </c:pt>
                <c:pt idx="198">
                  <c:v>44804.041250000002</c:v>
                </c:pt>
                <c:pt idx="199">
                  <c:v>44834.041250000002</c:v>
                </c:pt>
                <c:pt idx="200">
                  <c:v>44865.041250000002</c:v>
                </c:pt>
                <c:pt idx="201">
                  <c:v>44895.041250000002</c:v>
                </c:pt>
                <c:pt idx="202">
                  <c:v>44925.041250000002</c:v>
                </c:pt>
                <c:pt idx="203">
                  <c:v>44957.041250000002</c:v>
                </c:pt>
                <c:pt idx="204">
                  <c:v>44985.041250000002</c:v>
                </c:pt>
                <c:pt idx="205">
                  <c:v>45016.041250000002</c:v>
                </c:pt>
                <c:pt idx="206">
                  <c:v>45044.041250000002</c:v>
                </c:pt>
                <c:pt idx="207">
                  <c:v>45077.041250000002</c:v>
                </c:pt>
                <c:pt idx="208">
                  <c:v>45107.041250000002</c:v>
                </c:pt>
                <c:pt idx="209">
                  <c:v>45138.041250000002</c:v>
                </c:pt>
                <c:pt idx="210">
                  <c:v>45169.041250000002</c:v>
                </c:pt>
                <c:pt idx="211">
                  <c:v>45198.041250000002</c:v>
                </c:pt>
                <c:pt idx="212">
                  <c:v>45230.041250000002</c:v>
                </c:pt>
                <c:pt idx="213">
                  <c:v>45260.041250000002</c:v>
                </c:pt>
                <c:pt idx="214">
                  <c:v>45289.041250000002</c:v>
                </c:pt>
                <c:pt idx="215">
                  <c:v>45322.041250000002</c:v>
                </c:pt>
                <c:pt idx="216">
                  <c:v>45351.041250000002</c:v>
                </c:pt>
                <c:pt idx="217">
                  <c:v>45378.041250000002</c:v>
                </c:pt>
                <c:pt idx="218">
                  <c:v>45412.041250000002</c:v>
                </c:pt>
                <c:pt idx="219">
                  <c:v>45443.041250000002</c:v>
                </c:pt>
                <c:pt idx="220">
                  <c:v>45471.041250000002</c:v>
                </c:pt>
                <c:pt idx="221">
                  <c:v>45504.041250000002</c:v>
                </c:pt>
                <c:pt idx="222">
                  <c:v>45534.041250000002</c:v>
                </c:pt>
                <c:pt idx="223">
                  <c:v>45565.041250000002</c:v>
                </c:pt>
                <c:pt idx="224">
                  <c:v>45596.041250000002</c:v>
                </c:pt>
                <c:pt idx="225">
                  <c:v>45625.041250000002</c:v>
                </c:pt>
                <c:pt idx="226">
                  <c:v>45657.041250000002</c:v>
                </c:pt>
                <c:pt idx="227">
                  <c:v>45688.041250000002</c:v>
                </c:pt>
                <c:pt idx="228">
                  <c:v>45716.041250000002</c:v>
                </c:pt>
                <c:pt idx="229">
                  <c:v>45747.041250000002</c:v>
                </c:pt>
                <c:pt idx="230">
                  <c:v>45777.041250000002</c:v>
                </c:pt>
                <c:pt idx="231">
                  <c:v>45807.041250000002</c:v>
                </c:pt>
                <c:pt idx="232">
                  <c:v>45838.041250000002</c:v>
                </c:pt>
                <c:pt idx="233">
                  <c:v>45869.041250000002</c:v>
                </c:pt>
                <c:pt idx="234">
                  <c:v>45898.041250000002</c:v>
                </c:pt>
                <c:pt idx="235">
                  <c:v>45930.041250000002</c:v>
                </c:pt>
                <c:pt idx="236">
                  <c:v>45961.041250000002</c:v>
                </c:pt>
                <c:pt idx="237">
                  <c:v>45989.041250000002</c:v>
                </c:pt>
                <c:pt idx="238">
                  <c:v>46022.041250000002</c:v>
                </c:pt>
                <c:pt idx="239">
                  <c:v>46052.041250000002</c:v>
                </c:pt>
                <c:pt idx="240">
                  <c:v>46080.041250000002</c:v>
                </c:pt>
                <c:pt idx="241">
                  <c:v>46112.041250000002</c:v>
                </c:pt>
                <c:pt idx="242">
                  <c:v>46142.041250000002</c:v>
                </c:pt>
                <c:pt idx="243">
                  <c:v>46171.041250000002</c:v>
                </c:pt>
                <c:pt idx="244">
                  <c:v>46203.041250000002</c:v>
                </c:pt>
                <c:pt idx="245">
                  <c:v>46209.041250000002</c:v>
                </c:pt>
              </c:numCache>
            </c:numRef>
          </c:cat>
          <c:val>
            <c:numRef>
              <c:f>report!$T$2:$T$247</c:f>
              <c:numCache>
                <c:formatCode>##,##0.00###########</c:formatCode>
                <c:ptCount val="246"/>
                <c:pt idx="0">
                  <c:v>14.99</c:v>
                </c:pt>
                <c:pt idx="1">
                  <c:v>14.38</c:v>
                </c:pt>
                <c:pt idx="2">
                  <c:v>15.775</c:v>
                </c:pt>
                <c:pt idx="3">
                  <c:v>14.82</c:v>
                </c:pt>
                <c:pt idx="4">
                  <c:v>15.59</c:v>
                </c:pt>
                <c:pt idx="5">
                  <c:v>16.96</c:v>
                </c:pt>
                <c:pt idx="6">
                  <c:v>18.670000000000002</c:v>
                </c:pt>
                <c:pt idx="7">
                  <c:v>18.7</c:v>
                </c:pt>
                <c:pt idx="8">
                  <c:v>18.73</c:v>
                </c:pt>
                <c:pt idx="9">
                  <c:v>20.53</c:v>
                </c:pt>
                <c:pt idx="10">
                  <c:v>23.78</c:v>
                </c:pt>
                <c:pt idx="11">
                  <c:v>24.41</c:v>
                </c:pt>
                <c:pt idx="12">
                  <c:v>21.58</c:v>
                </c:pt>
                <c:pt idx="13">
                  <c:v>23.57</c:v>
                </c:pt>
                <c:pt idx="14">
                  <c:v>21.475000000000001</c:v>
                </c:pt>
                <c:pt idx="15">
                  <c:v>20.32</c:v>
                </c:pt>
                <c:pt idx="16">
                  <c:v>20.49</c:v>
                </c:pt>
                <c:pt idx="17">
                  <c:v>19.96</c:v>
                </c:pt>
                <c:pt idx="18">
                  <c:v>19.63</c:v>
                </c:pt>
                <c:pt idx="19">
                  <c:v>20.09</c:v>
                </c:pt>
                <c:pt idx="20">
                  <c:v>21.61</c:v>
                </c:pt>
                <c:pt idx="21">
                  <c:v>19.72</c:v>
                </c:pt>
                <c:pt idx="22">
                  <c:v>18.84</c:v>
                </c:pt>
                <c:pt idx="23">
                  <c:v>19.41</c:v>
                </c:pt>
                <c:pt idx="24">
                  <c:v>19.46</c:v>
                </c:pt>
                <c:pt idx="25">
                  <c:v>22.53</c:v>
                </c:pt>
                <c:pt idx="26">
                  <c:v>21.22</c:v>
                </c:pt>
                <c:pt idx="27">
                  <c:v>22.81</c:v>
                </c:pt>
                <c:pt idx="28">
                  <c:v>20.440000000000001</c:v>
                </c:pt>
                <c:pt idx="29">
                  <c:v>20.41</c:v>
                </c:pt>
                <c:pt idx="30">
                  <c:v>18.765000000000001</c:v>
                </c:pt>
                <c:pt idx="31">
                  <c:v>18.8</c:v>
                </c:pt>
                <c:pt idx="32">
                  <c:v>17.27</c:v>
                </c:pt>
                <c:pt idx="33">
                  <c:v>18.36</c:v>
                </c:pt>
                <c:pt idx="34">
                  <c:v>18.5</c:v>
                </c:pt>
                <c:pt idx="35">
                  <c:v>14.98</c:v>
                </c:pt>
                <c:pt idx="36">
                  <c:v>14.2</c:v>
                </c:pt>
                <c:pt idx="37">
                  <c:v>16.535</c:v>
                </c:pt>
                <c:pt idx="38">
                  <c:v>18.82</c:v>
                </c:pt>
                <c:pt idx="39">
                  <c:v>19.34</c:v>
                </c:pt>
                <c:pt idx="40">
                  <c:v>19.48</c:v>
                </c:pt>
                <c:pt idx="41">
                  <c:v>22.475000000000001</c:v>
                </c:pt>
                <c:pt idx="42">
                  <c:v>23.66</c:v>
                </c:pt>
                <c:pt idx="43">
                  <c:v>23.47</c:v>
                </c:pt>
                <c:pt idx="44">
                  <c:v>23.51</c:v>
                </c:pt>
                <c:pt idx="45">
                  <c:v>26.49</c:v>
                </c:pt>
                <c:pt idx="46">
                  <c:v>29.35</c:v>
                </c:pt>
                <c:pt idx="47">
                  <c:v>29</c:v>
                </c:pt>
                <c:pt idx="48">
                  <c:v>31.84</c:v>
                </c:pt>
                <c:pt idx="49">
                  <c:v>31.56</c:v>
                </c:pt>
                <c:pt idx="50">
                  <c:v>28.66</c:v>
                </c:pt>
                <c:pt idx="51">
                  <c:v>28.77</c:v>
                </c:pt>
                <c:pt idx="52">
                  <c:v>28.64</c:v>
                </c:pt>
                <c:pt idx="53">
                  <c:v>29.4</c:v>
                </c:pt>
                <c:pt idx="54">
                  <c:v>29.51</c:v>
                </c:pt>
                <c:pt idx="55">
                  <c:v>31.58</c:v>
                </c:pt>
                <c:pt idx="56">
                  <c:v>33.78</c:v>
                </c:pt>
                <c:pt idx="57">
                  <c:v>35.119999999999997</c:v>
                </c:pt>
                <c:pt idx="58">
                  <c:v>35.44</c:v>
                </c:pt>
                <c:pt idx="59">
                  <c:v>33.700000000000003</c:v>
                </c:pt>
                <c:pt idx="60">
                  <c:v>34.619999999999997</c:v>
                </c:pt>
                <c:pt idx="61">
                  <c:v>35.630000000000003</c:v>
                </c:pt>
                <c:pt idx="62">
                  <c:v>36.06</c:v>
                </c:pt>
                <c:pt idx="63">
                  <c:v>35.200000000000003</c:v>
                </c:pt>
                <c:pt idx="64">
                  <c:v>34.69</c:v>
                </c:pt>
                <c:pt idx="65">
                  <c:v>32.380000000000003</c:v>
                </c:pt>
                <c:pt idx="66">
                  <c:v>32.770000000000003</c:v>
                </c:pt>
                <c:pt idx="67">
                  <c:v>31.96</c:v>
                </c:pt>
                <c:pt idx="68">
                  <c:v>34.409999999999997</c:v>
                </c:pt>
                <c:pt idx="69">
                  <c:v>36.9</c:v>
                </c:pt>
                <c:pt idx="70">
                  <c:v>38.229999999999997</c:v>
                </c:pt>
                <c:pt idx="71">
                  <c:v>40.270000000000003</c:v>
                </c:pt>
                <c:pt idx="72">
                  <c:v>40.07</c:v>
                </c:pt>
                <c:pt idx="73">
                  <c:v>43.06</c:v>
                </c:pt>
                <c:pt idx="74">
                  <c:v>37.25</c:v>
                </c:pt>
                <c:pt idx="75">
                  <c:v>34.67</c:v>
                </c:pt>
                <c:pt idx="76">
                  <c:v>35.75</c:v>
                </c:pt>
                <c:pt idx="77">
                  <c:v>37.67</c:v>
                </c:pt>
                <c:pt idx="78">
                  <c:v>35.19</c:v>
                </c:pt>
                <c:pt idx="79">
                  <c:v>36.21</c:v>
                </c:pt>
                <c:pt idx="80">
                  <c:v>38.67</c:v>
                </c:pt>
                <c:pt idx="81">
                  <c:v>40.57</c:v>
                </c:pt>
                <c:pt idx="82">
                  <c:v>42.33</c:v>
                </c:pt>
                <c:pt idx="83">
                  <c:v>41.22</c:v>
                </c:pt>
                <c:pt idx="84">
                  <c:v>40.130000000000003</c:v>
                </c:pt>
                <c:pt idx="85">
                  <c:v>40.4</c:v>
                </c:pt>
                <c:pt idx="86">
                  <c:v>38.64</c:v>
                </c:pt>
                <c:pt idx="87">
                  <c:v>37.72</c:v>
                </c:pt>
                <c:pt idx="88">
                  <c:v>36.479999999999997</c:v>
                </c:pt>
                <c:pt idx="89">
                  <c:v>34.950000000000003</c:v>
                </c:pt>
                <c:pt idx="90">
                  <c:v>32.04</c:v>
                </c:pt>
                <c:pt idx="91">
                  <c:v>34.42</c:v>
                </c:pt>
                <c:pt idx="92">
                  <c:v>33.92</c:v>
                </c:pt>
                <c:pt idx="93">
                  <c:v>34.64</c:v>
                </c:pt>
                <c:pt idx="94">
                  <c:v>34.26</c:v>
                </c:pt>
                <c:pt idx="95">
                  <c:v>32</c:v>
                </c:pt>
                <c:pt idx="96">
                  <c:v>28.09</c:v>
                </c:pt>
                <c:pt idx="97">
                  <c:v>30.98</c:v>
                </c:pt>
                <c:pt idx="98">
                  <c:v>33.08</c:v>
                </c:pt>
                <c:pt idx="99">
                  <c:v>32.75</c:v>
                </c:pt>
                <c:pt idx="100">
                  <c:v>34.700000000000003</c:v>
                </c:pt>
                <c:pt idx="101">
                  <c:v>32.799999999999997</c:v>
                </c:pt>
                <c:pt idx="102">
                  <c:v>35.6</c:v>
                </c:pt>
                <c:pt idx="103">
                  <c:v>33.770000000000003</c:v>
                </c:pt>
                <c:pt idx="104">
                  <c:v>31.13</c:v>
                </c:pt>
                <c:pt idx="105">
                  <c:v>29.75</c:v>
                </c:pt>
                <c:pt idx="106">
                  <c:v>31.72</c:v>
                </c:pt>
                <c:pt idx="107">
                  <c:v>28.95</c:v>
                </c:pt>
                <c:pt idx="108">
                  <c:v>36.590000000000003</c:v>
                </c:pt>
                <c:pt idx="109">
                  <c:v>38.11</c:v>
                </c:pt>
                <c:pt idx="110">
                  <c:v>36.24</c:v>
                </c:pt>
                <c:pt idx="111">
                  <c:v>38.020000000000003</c:v>
                </c:pt>
                <c:pt idx="112">
                  <c:v>38.229999999999997</c:v>
                </c:pt>
                <c:pt idx="113">
                  <c:v>39.14</c:v>
                </c:pt>
                <c:pt idx="114">
                  <c:v>40.130000000000003</c:v>
                </c:pt>
                <c:pt idx="115">
                  <c:v>41.51</c:v>
                </c:pt>
                <c:pt idx="116">
                  <c:v>43.58</c:v>
                </c:pt>
                <c:pt idx="117">
                  <c:v>43.88</c:v>
                </c:pt>
                <c:pt idx="118">
                  <c:v>43.49</c:v>
                </c:pt>
                <c:pt idx="119">
                  <c:v>45.58</c:v>
                </c:pt>
                <c:pt idx="120">
                  <c:v>42.7</c:v>
                </c:pt>
                <c:pt idx="121">
                  <c:v>41</c:v>
                </c:pt>
                <c:pt idx="122">
                  <c:v>42.55</c:v>
                </c:pt>
                <c:pt idx="123">
                  <c:v>42.84</c:v>
                </c:pt>
                <c:pt idx="124">
                  <c:v>43.91</c:v>
                </c:pt>
                <c:pt idx="125">
                  <c:v>42.85</c:v>
                </c:pt>
                <c:pt idx="126">
                  <c:v>42.92</c:v>
                </c:pt>
                <c:pt idx="127">
                  <c:v>42.58</c:v>
                </c:pt>
                <c:pt idx="128">
                  <c:v>39.99</c:v>
                </c:pt>
                <c:pt idx="129">
                  <c:v>37.75</c:v>
                </c:pt>
                <c:pt idx="130">
                  <c:v>37.049999999999997</c:v>
                </c:pt>
                <c:pt idx="131">
                  <c:v>36.9</c:v>
                </c:pt>
                <c:pt idx="132">
                  <c:v>38.950000000000003</c:v>
                </c:pt>
                <c:pt idx="133">
                  <c:v>43.16</c:v>
                </c:pt>
                <c:pt idx="134">
                  <c:v>42.5</c:v>
                </c:pt>
                <c:pt idx="135">
                  <c:v>42.73</c:v>
                </c:pt>
                <c:pt idx="136">
                  <c:v>42.13</c:v>
                </c:pt>
                <c:pt idx="137">
                  <c:v>41.08</c:v>
                </c:pt>
                <c:pt idx="138">
                  <c:v>43.49</c:v>
                </c:pt>
                <c:pt idx="139">
                  <c:v>41.7</c:v>
                </c:pt>
                <c:pt idx="140">
                  <c:v>42.84</c:v>
                </c:pt>
                <c:pt idx="141">
                  <c:v>43.92</c:v>
                </c:pt>
                <c:pt idx="142">
                  <c:v>48.19</c:v>
                </c:pt>
                <c:pt idx="143">
                  <c:v>46.64</c:v>
                </c:pt>
                <c:pt idx="144">
                  <c:v>44</c:v>
                </c:pt>
                <c:pt idx="145">
                  <c:v>46.26</c:v>
                </c:pt>
                <c:pt idx="146">
                  <c:v>51.97</c:v>
                </c:pt>
                <c:pt idx="147">
                  <c:v>50.06</c:v>
                </c:pt>
                <c:pt idx="148">
                  <c:v>52.36</c:v>
                </c:pt>
                <c:pt idx="149">
                  <c:v>54.43</c:v>
                </c:pt>
                <c:pt idx="150">
                  <c:v>52.9</c:v>
                </c:pt>
                <c:pt idx="151">
                  <c:v>57.03</c:v>
                </c:pt>
                <c:pt idx="152">
                  <c:v>51.88</c:v>
                </c:pt>
                <c:pt idx="153">
                  <c:v>50.34</c:v>
                </c:pt>
                <c:pt idx="154">
                  <c:v>49.97</c:v>
                </c:pt>
                <c:pt idx="155">
                  <c:v>50.2</c:v>
                </c:pt>
                <c:pt idx="156">
                  <c:v>49.85</c:v>
                </c:pt>
                <c:pt idx="157">
                  <c:v>51.92</c:v>
                </c:pt>
                <c:pt idx="158">
                  <c:v>55.71</c:v>
                </c:pt>
                <c:pt idx="159">
                  <c:v>55.31</c:v>
                </c:pt>
                <c:pt idx="160">
                  <c:v>52.4</c:v>
                </c:pt>
                <c:pt idx="161">
                  <c:v>56.54</c:v>
                </c:pt>
                <c:pt idx="162">
                  <c:v>56.73</c:v>
                </c:pt>
                <c:pt idx="163">
                  <c:v>58.48</c:v>
                </c:pt>
                <c:pt idx="164">
                  <c:v>57.73</c:v>
                </c:pt>
                <c:pt idx="165">
                  <c:v>54.48</c:v>
                </c:pt>
                <c:pt idx="166">
                  <c:v>54.15</c:v>
                </c:pt>
                <c:pt idx="167">
                  <c:v>54.85</c:v>
                </c:pt>
                <c:pt idx="168">
                  <c:v>55.2</c:v>
                </c:pt>
                <c:pt idx="169">
                  <c:v>55.75</c:v>
                </c:pt>
                <c:pt idx="170">
                  <c:v>57.97</c:v>
                </c:pt>
                <c:pt idx="171">
                  <c:v>55.35</c:v>
                </c:pt>
                <c:pt idx="172">
                  <c:v>55.15</c:v>
                </c:pt>
                <c:pt idx="173">
                  <c:v>52.23</c:v>
                </c:pt>
                <c:pt idx="174">
                  <c:v>52.53</c:v>
                </c:pt>
                <c:pt idx="175">
                  <c:v>53.05</c:v>
                </c:pt>
                <c:pt idx="176">
                  <c:v>51.25</c:v>
                </c:pt>
                <c:pt idx="177">
                  <c:v>53.25</c:v>
                </c:pt>
                <c:pt idx="178">
                  <c:v>55.98</c:v>
                </c:pt>
                <c:pt idx="179">
                  <c:v>58.35</c:v>
                </c:pt>
                <c:pt idx="180">
                  <c:v>59.68</c:v>
                </c:pt>
                <c:pt idx="181">
                  <c:v>64.47</c:v>
                </c:pt>
                <c:pt idx="182">
                  <c:v>66.31</c:v>
                </c:pt>
                <c:pt idx="183">
                  <c:v>65.400000000000006</c:v>
                </c:pt>
                <c:pt idx="184">
                  <c:v>65.069999999999993</c:v>
                </c:pt>
                <c:pt idx="185">
                  <c:v>65.62</c:v>
                </c:pt>
                <c:pt idx="186">
                  <c:v>71.459999999999994</c:v>
                </c:pt>
                <c:pt idx="187">
                  <c:v>70.13</c:v>
                </c:pt>
                <c:pt idx="188">
                  <c:v>71.81</c:v>
                </c:pt>
                <c:pt idx="189">
                  <c:v>67.38</c:v>
                </c:pt>
                <c:pt idx="190">
                  <c:v>76.09</c:v>
                </c:pt>
                <c:pt idx="191">
                  <c:v>70.14</c:v>
                </c:pt>
                <c:pt idx="192">
                  <c:v>77.900000000000006</c:v>
                </c:pt>
                <c:pt idx="193">
                  <c:v>81.92</c:v>
                </c:pt>
                <c:pt idx="194">
                  <c:v>72.16</c:v>
                </c:pt>
                <c:pt idx="195">
                  <c:v>72.77</c:v>
                </c:pt>
                <c:pt idx="196">
                  <c:v>69.33</c:v>
                </c:pt>
                <c:pt idx="197">
                  <c:v>73.84</c:v>
                </c:pt>
                <c:pt idx="198">
                  <c:v>65.84</c:v>
                </c:pt>
                <c:pt idx="199">
                  <c:v>70.83</c:v>
                </c:pt>
                <c:pt idx="200">
                  <c:v>76.53</c:v>
                </c:pt>
                <c:pt idx="201">
                  <c:v>76.72</c:v>
                </c:pt>
                <c:pt idx="202">
                  <c:v>68.59</c:v>
                </c:pt>
                <c:pt idx="203">
                  <c:v>73.760000000000005</c:v>
                </c:pt>
                <c:pt idx="204">
                  <c:v>72.010000000000005</c:v>
                </c:pt>
                <c:pt idx="205">
                  <c:v>72.03</c:v>
                </c:pt>
                <c:pt idx="206">
                  <c:v>72.489999999999995</c:v>
                </c:pt>
                <c:pt idx="207">
                  <c:v>67.22</c:v>
                </c:pt>
                <c:pt idx="208">
                  <c:v>67.72</c:v>
                </c:pt>
                <c:pt idx="209">
                  <c:v>69.709999999999994</c:v>
                </c:pt>
                <c:pt idx="210">
                  <c:v>67.17</c:v>
                </c:pt>
                <c:pt idx="211">
                  <c:v>65.599999999999994</c:v>
                </c:pt>
                <c:pt idx="212">
                  <c:v>64.53</c:v>
                </c:pt>
                <c:pt idx="213">
                  <c:v>68.09</c:v>
                </c:pt>
                <c:pt idx="214">
                  <c:v>71.569999999999993</c:v>
                </c:pt>
                <c:pt idx="215">
                  <c:v>71.11</c:v>
                </c:pt>
                <c:pt idx="216">
                  <c:v>68.25</c:v>
                </c:pt>
                <c:pt idx="217">
                  <c:v>67</c:v>
                </c:pt>
                <c:pt idx="218">
                  <c:v>63.92</c:v>
                </c:pt>
                <c:pt idx="219">
                  <c:v>63.79</c:v>
                </c:pt>
                <c:pt idx="220">
                  <c:v>62.26</c:v>
                </c:pt>
                <c:pt idx="221">
                  <c:v>61.96</c:v>
                </c:pt>
                <c:pt idx="222">
                  <c:v>62.77</c:v>
                </c:pt>
                <c:pt idx="223">
                  <c:v>59.17</c:v>
                </c:pt>
                <c:pt idx="224">
                  <c:v>55.02</c:v>
                </c:pt>
                <c:pt idx="225">
                  <c:v>53.9</c:v>
                </c:pt>
                <c:pt idx="226">
                  <c:v>54.89</c:v>
                </c:pt>
                <c:pt idx="227">
                  <c:v>53.72</c:v>
                </c:pt>
                <c:pt idx="228">
                  <c:v>54.38</c:v>
                </c:pt>
                <c:pt idx="229">
                  <c:v>56.36</c:v>
                </c:pt>
                <c:pt idx="230">
                  <c:v>62.15</c:v>
                </c:pt>
                <c:pt idx="231">
                  <c:v>63.7</c:v>
                </c:pt>
                <c:pt idx="232">
                  <c:v>62.15</c:v>
                </c:pt>
                <c:pt idx="233">
                  <c:v>55.61</c:v>
                </c:pt>
                <c:pt idx="234">
                  <c:v>55.72</c:v>
                </c:pt>
                <c:pt idx="235">
                  <c:v>56.57</c:v>
                </c:pt>
                <c:pt idx="236">
                  <c:v>61.42</c:v>
                </c:pt>
                <c:pt idx="237">
                  <c:v>61.99</c:v>
                </c:pt>
                <c:pt idx="238">
                  <c:v>56.13</c:v>
                </c:pt>
                <c:pt idx="239">
                  <c:v>55.46</c:v>
                </c:pt>
                <c:pt idx="240">
                  <c:v>55.74</c:v>
                </c:pt>
                <c:pt idx="241">
                  <c:v>58.2</c:v>
                </c:pt>
                <c:pt idx="242">
                  <c:v>55.07</c:v>
                </c:pt>
                <c:pt idx="243">
                  <c:v>52.4</c:v>
                </c:pt>
                <c:pt idx="244">
                  <c:v>51.37</c:v>
                </c:pt>
                <c:pt idx="245">
                  <c:v>49.06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C5-419C-9FA8-BD4457520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1879584"/>
        <c:axId val="1929289328"/>
      </c:lineChart>
      <c:dateAx>
        <c:axId val="1901879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9289328"/>
        <c:crosses val="autoZero"/>
        <c:auto val="0"/>
        <c:lblOffset val="100"/>
        <c:baseTimeUnit val="months"/>
        <c:majorUnit val="2"/>
        <c:majorTimeUnit val="years"/>
      </c:dateAx>
      <c:valAx>
        <c:axId val="192928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Precio (MXN)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01879584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IPC — Precio de cierre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report!$V$1</c:f>
              <c:strCache>
                <c:ptCount val="1"/>
                <c:pt idx="0">
                  <c:v>IPC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report!$A$2:$A$247</c:f>
              <c:numCache>
                <c:formatCode>m/d/yyyy</c:formatCode>
                <c:ptCount val="246"/>
                <c:pt idx="0">
                  <c:v>38776.041250000002</c:v>
                </c:pt>
                <c:pt idx="1">
                  <c:v>38807.041250000002</c:v>
                </c:pt>
                <c:pt idx="2">
                  <c:v>38835.041250000002</c:v>
                </c:pt>
                <c:pt idx="3">
                  <c:v>38868.041250000002</c:v>
                </c:pt>
                <c:pt idx="4">
                  <c:v>38898.041250000002</c:v>
                </c:pt>
                <c:pt idx="5">
                  <c:v>38929.041250000002</c:v>
                </c:pt>
                <c:pt idx="6">
                  <c:v>38960.041250000002</c:v>
                </c:pt>
                <c:pt idx="7">
                  <c:v>38989.041250000002</c:v>
                </c:pt>
                <c:pt idx="8">
                  <c:v>39021.041250000002</c:v>
                </c:pt>
                <c:pt idx="9">
                  <c:v>39051.041250000002</c:v>
                </c:pt>
                <c:pt idx="10">
                  <c:v>39080.041250000002</c:v>
                </c:pt>
                <c:pt idx="11">
                  <c:v>39113.041250000002</c:v>
                </c:pt>
                <c:pt idx="12">
                  <c:v>39141.041250000002</c:v>
                </c:pt>
                <c:pt idx="13">
                  <c:v>39171.041250000002</c:v>
                </c:pt>
                <c:pt idx="14">
                  <c:v>39202.041250000002</c:v>
                </c:pt>
                <c:pt idx="15">
                  <c:v>39233.041250000002</c:v>
                </c:pt>
                <c:pt idx="16">
                  <c:v>39262.041250000002</c:v>
                </c:pt>
                <c:pt idx="17">
                  <c:v>39294.041250000002</c:v>
                </c:pt>
                <c:pt idx="18">
                  <c:v>39325.041250000002</c:v>
                </c:pt>
                <c:pt idx="19">
                  <c:v>39353.041250000002</c:v>
                </c:pt>
                <c:pt idx="20">
                  <c:v>39386.041250000002</c:v>
                </c:pt>
                <c:pt idx="21">
                  <c:v>39416.041250000002</c:v>
                </c:pt>
                <c:pt idx="22">
                  <c:v>39447.041250000002</c:v>
                </c:pt>
                <c:pt idx="23">
                  <c:v>39478.041250000002</c:v>
                </c:pt>
                <c:pt idx="24">
                  <c:v>39507.041250000002</c:v>
                </c:pt>
                <c:pt idx="25">
                  <c:v>39538.041250000002</c:v>
                </c:pt>
                <c:pt idx="26">
                  <c:v>39568.041250000002</c:v>
                </c:pt>
                <c:pt idx="27">
                  <c:v>39598.041250000002</c:v>
                </c:pt>
                <c:pt idx="28">
                  <c:v>39629.041250000002</c:v>
                </c:pt>
                <c:pt idx="29">
                  <c:v>39660.041250000002</c:v>
                </c:pt>
                <c:pt idx="30">
                  <c:v>39689.041250000002</c:v>
                </c:pt>
                <c:pt idx="31">
                  <c:v>39721.041250000002</c:v>
                </c:pt>
                <c:pt idx="32">
                  <c:v>39752.041250000002</c:v>
                </c:pt>
                <c:pt idx="33">
                  <c:v>39780.041250000002</c:v>
                </c:pt>
                <c:pt idx="34">
                  <c:v>39813.041250000002</c:v>
                </c:pt>
                <c:pt idx="35">
                  <c:v>39843.041250000002</c:v>
                </c:pt>
                <c:pt idx="36">
                  <c:v>39871.041250000002</c:v>
                </c:pt>
                <c:pt idx="37">
                  <c:v>39903.041250000002</c:v>
                </c:pt>
                <c:pt idx="38">
                  <c:v>39933.041250000002</c:v>
                </c:pt>
                <c:pt idx="39">
                  <c:v>39962.041250000002</c:v>
                </c:pt>
                <c:pt idx="40">
                  <c:v>39994.041250000002</c:v>
                </c:pt>
                <c:pt idx="41">
                  <c:v>40025.041250000002</c:v>
                </c:pt>
                <c:pt idx="42">
                  <c:v>40056.041250000002</c:v>
                </c:pt>
                <c:pt idx="43">
                  <c:v>40086.041250000002</c:v>
                </c:pt>
                <c:pt idx="44">
                  <c:v>40116.041250000002</c:v>
                </c:pt>
                <c:pt idx="45">
                  <c:v>40147.041250000002</c:v>
                </c:pt>
                <c:pt idx="46">
                  <c:v>40178.041250000002</c:v>
                </c:pt>
                <c:pt idx="47">
                  <c:v>40207.041250000002</c:v>
                </c:pt>
                <c:pt idx="48">
                  <c:v>40235.041250000002</c:v>
                </c:pt>
                <c:pt idx="49">
                  <c:v>40268.041250000002</c:v>
                </c:pt>
                <c:pt idx="50">
                  <c:v>40298.041250000002</c:v>
                </c:pt>
                <c:pt idx="51">
                  <c:v>40329.041250000002</c:v>
                </c:pt>
                <c:pt idx="52">
                  <c:v>40359.041250000002</c:v>
                </c:pt>
                <c:pt idx="53">
                  <c:v>40389.041250000002</c:v>
                </c:pt>
                <c:pt idx="54">
                  <c:v>40421.041250000002</c:v>
                </c:pt>
                <c:pt idx="55">
                  <c:v>40451.041250000002</c:v>
                </c:pt>
                <c:pt idx="56">
                  <c:v>40480.041250000002</c:v>
                </c:pt>
                <c:pt idx="57">
                  <c:v>40512.041250000002</c:v>
                </c:pt>
                <c:pt idx="58">
                  <c:v>40543.041250000002</c:v>
                </c:pt>
                <c:pt idx="59">
                  <c:v>40574.041250000002</c:v>
                </c:pt>
                <c:pt idx="60">
                  <c:v>40602.041250000002</c:v>
                </c:pt>
                <c:pt idx="61">
                  <c:v>40633.041250000002</c:v>
                </c:pt>
                <c:pt idx="62">
                  <c:v>40662.041250000002</c:v>
                </c:pt>
                <c:pt idx="63">
                  <c:v>40694.041250000002</c:v>
                </c:pt>
                <c:pt idx="64">
                  <c:v>40724.041250000002</c:v>
                </c:pt>
                <c:pt idx="65">
                  <c:v>40753.041250000002</c:v>
                </c:pt>
                <c:pt idx="66">
                  <c:v>40786.041250000002</c:v>
                </c:pt>
                <c:pt idx="67">
                  <c:v>40816.041250000002</c:v>
                </c:pt>
                <c:pt idx="68">
                  <c:v>40847.041250000002</c:v>
                </c:pt>
                <c:pt idx="69">
                  <c:v>40877.041250000002</c:v>
                </c:pt>
                <c:pt idx="70">
                  <c:v>40907.041250000002</c:v>
                </c:pt>
                <c:pt idx="71">
                  <c:v>40939.041250000002</c:v>
                </c:pt>
                <c:pt idx="72">
                  <c:v>40968.041250000002</c:v>
                </c:pt>
                <c:pt idx="73">
                  <c:v>40998.041250000002</c:v>
                </c:pt>
                <c:pt idx="74">
                  <c:v>41029.041250000002</c:v>
                </c:pt>
                <c:pt idx="75">
                  <c:v>41060.041250000002</c:v>
                </c:pt>
                <c:pt idx="76">
                  <c:v>41089.041250000002</c:v>
                </c:pt>
                <c:pt idx="77">
                  <c:v>41121.041250000002</c:v>
                </c:pt>
                <c:pt idx="78">
                  <c:v>41152.041250000002</c:v>
                </c:pt>
                <c:pt idx="79">
                  <c:v>41180.041250000002</c:v>
                </c:pt>
                <c:pt idx="80">
                  <c:v>41213.041250000002</c:v>
                </c:pt>
                <c:pt idx="81">
                  <c:v>41243.041250000002</c:v>
                </c:pt>
                <c:pt idx="82">
                  <c:v>41274.041250000002</c:v>
                </c:pt>
                <c:pt idx="83">
                  <c:v>41305.041250000002</c:v>
                </c:pt>
                <c:pt idx="84">
                  <c:v>41333.041250000002</c:v>
                </c:pt>
                <c:pt idx="85">
                  <c:v>41360.041250000002</c:v>
                </c:pt>
                <c:pt idx="86">
                  <c:v>41394.041250000002</c:v>
                </c:pt>
                <c:pt idx="87">
                  <c:v>41425.041250000002</c:v>
                </c:pt>
                <c:pt idx="88">
                  <c:v>41453.041250000002</c:v>
                </c:pt>
                <c:pt idx="89">
                  <c:v>41486.041250000002</c:v>
                </c:pt>
                <c:pt idx="90">
                  <c:v>41516.041250000002</c:v>
                </c:pt>
                <c:pt idx="91">
                  <c:v>41547.041250000002</c:v>
                </c:pt>
                <c:pt idx="92">
                  <c:v>41578.041250000002</c:v>
                </c:pt>
                <c:pt idx="93">
                  <c:v>41607.041250000002</c:v>
                </c:pt>
                <c:pt idx="94">
                  <c:v>41639.041250000002</c:v>
                </c:pt>
                <c:pt idx="95">
                  <c:v>41670.041250000002</c:v>
                </c:pt>
                <c:pt idx="96">
                  <c:v>41698.041250000002</c:v>
                </c:pt>
                <c:pt idx="97">
                  <c:v>41729.041250000002</c:v>
                </c:pt>
                <c:pt idx="98">
                  <c:v>41759.041250000002</c:v>
                </c:pt>
                <c:pt idx="99">
                  <c:v>41789.041250000002</c:v>
                </c:pt>
                <c:pt idx="100">
                  <c:v>41820.041250000002</c:v>
                </c:pt>
                <c:pt idx="101">
                  <c:v>41851.041250000002</c:v>
                </c:pt>
                <c:pt idx="102">
                  <c:v>41880.041250000002</c:v>
                </c:pt>
                <c:pt idx="103">
                  <c:v>41912.041250000002</c:v>
                </c:pt>
                <c:pt idx="104">
                  <c:v>41943.041250000002</c:v>
                </c:pt>
                <c:pt idx="105">
                  <c:v>41971.041250000002</c:v>
                </c:pt>
                <c:pt idx="106">
                  <c:v>42004.041250000002</c:v>
                </c:pt>
                <c:pt idx="107">
                  <c:v>42034.041250000002</c:v>
                </c:pt>
                <c:pt idx="108">
                  <c:v>42062.041250000002</c:v>
                </c:pt>
                <c:pt idx="109">
                  <c:v>42094.041250000002</c:v>
                </c:pt>
                <c:pt idx="110">
                  <c:v>42124.041250000002</c:v>
                </c:pt>
                <c:pt idx="111">
                  <c:v>42153.041250000002</c:v>
                </c:pt>
                <c:pt idx="112">
                  <c:v>42185.041250000002</c:v>
                </c:pt>
                <c:pt idx="113">
                  <c:v>42216.041250000002</c:v>
                </c:pt>
                <c:pt idx="114">
                  <c:v>42247.041250000002</c:v>
                </c:pt>
                <c:pt idx="115">
                  <c:v>42277.041250000002</c:v>
                </c:pt>
                <c:pt idx="116">
                  <c:v>42307.041250000002</c:v>
                </c:pt>
                <c:pt idx="117">
                  <c:v>42338.041250000002</c:v>
                </c:pt>
                <c:pt idx="118">
                  <c:v>42369.041250000002</c:v>
                </c:pt>
                <c:pt idx="119">
                  <c:v>42398.041250000002</c:v>
                </c:pt>
                <c:pt idx="120">
                  <c:v>42429.041250000002</c:v>
                </c:pt>
                <c:pt idx="121">
                  <c:v>42460.041250000002</c:v>
                </c:pt>
                <c:pt idx="122">
                  <c:v>42489.041250000002</c:v>
                </c:pt>
                <c:pt idx="123">
                  <c:v>42521.041250000002</c:v>
                </c:pt>
                <c:pt idx="124">
                  <c:v>42551.041250000002</c:v>
                </c:pt>
                <c:pt idx="125">
                  <c:v>42580.041250000002</c:v>
                </c:pt>
                <c:pt idx="126">
                  <c:v>42613.041250000002</c:v>
                </c:pt>
                <c:pt idx="127">
                  <c:v>42643.041250000002</c:v>
                </c:pt>
                <c:pt idx="128">
                  <c:v>42674.041250000002</c:v>
                </c:pt>
                <c:pt idx="129">
                  <c:v>42704.041250000002</c:v>
                </c:pt>
                <c:pt idx="130">
                  <c:v>42734.041250000002</c:v>
                </c:pt>
                <c:pt idx="131">
                  <c:v>42766.041250000002</c:v>
                </c:pt>
                <c:pt idx="132">
                  <c:v>42794.041250000002</c:v>
                </c:pt>
                <c:pt idx="133">
                  <c:v>42825.041250000002</c:v>
                </c:pt>
                <c:pt idx="134">
                  <c:v>42853.041250000002</c:v>
                </c:pt>
                <c:pt idx="135">
                  <c:v>42886.041250000002</c:v>
                </c:pt>
                <c:pt idx="136">
                  <c:v>42916.041250000002</c:v>
                </c:pt>
                <c:pt idx="137">
                  <c:v>42947.041250000002</c:v>
                </c:pt>
                <c:pt idx="138">
                  <c:v>42978.041250000002</c:v>
                </c:pt>
                <c:pt idx="139">
                  <c:v>43007.041250000002</c:v>
                </c:pt>
                <c:pt idx="140">
                  <c:v>43039.041250000002</c:v>
                </c:pt>
                <c:pt idx="141">
                  <c:v>43069.041250000002</c:v>
                </c:pt>
                <c:pt idx="142">
                  <c:v>43098.041250000002</c:v>
                </c:pt>
                <c:pt idx="143">
                  <c:v>43131.041250000002</c:v>
                </c:pt>
                <c:pt idx="144">
                  <c:v>43159.041250000002</c:v>
                </c:pt>
                <c:pt idx="145">
                  <c:v>43187.041250000002</c:v>
                </c:pt>
                <c:pt idx="146">
                  <c:v>43220.041250000002</c:v>
                </c:pt>
                <c:pt idx="147">
                  <c:v>43251.041250000002</c:v>
                </c:pt>
                <c:pt idx="148">
                  <c:v>43280.041250000002</c:v>
                </c:pt>
                <c:pt idx="149">
                  <c:v>43312.041250000002</c:v>
                </c:pt>
                <c:pt idx="150">
                  <c:v>43343.041250000002</c:v>
                </c:pt>
                <c:pt idx="151">
                  <c:v>43371.041250000002</c:v>
                </c:pt>
                <c:pt idx="152">
                  <c:v>43404.041250000002</c:v>
                </c:pt>
                <c:pt idx="153">
                  <c:v>43434.041250000002</c:v>
                </c:pt>
                <c:pt idx="154">
                  <c:v>43465.041250000002</c:v>
                </c:pt>
                <c:pt idx="155">
                  <c:v>43496.041250000002</c:v>
                </c:pt>
                <c:pt idx="156">
                  <c:v>43524.041250000002</c:v>
                </c:pt>
                <c:pt idx="157">
                  <c:v>43553.041250000002</c:v>
                </c:pt>
                <c:pt idx="158">
                  <c:v>43585.041250000002</c:v>
                </c:pt>
                <c:pt idx="159">
                  <c:v>43616.041250000002</c:v>
                </c:pt>
                <c:pt idx="160">
                  <c:v>43644.041250000002</c:v>
                </c:pt>
                <c:pt idx="161">
                  <c:v>43677.041250000002</c:v>
                </c:pt>
                <c:pt idx="162">
                  <c:v>43707.041250000002</c:v>
                </c:pt>
                <c:pt idx="163">
                  <c:v>43738.041250000002</c:v>
                </c:pt>
                <c:pt idx="164">
                  <c:v>43769.041250000002</c:v>
                </c:pt>
                <c:pt idx="165">
                  <c:v>43798.041250000002</c:v>
                </c:pt>
                <c:pt idx="166">
                  <c:v>43830.041250000002</c:v>
                </c:pt>
                <c:pt idx="167">
                  <c:v>43861.041250000002</c:v>
                </c:pt>
                <c:pt idx="168">
                  <c:v>43889.041250000002</c:v>
                </c:pt>
                <c:pt idx="169">
                  <c:v>43921.041250000002</c:v>
                </c:pt>
                <c:pt idx="170">
                  <c:v>43951.041250000002</c:v>
                </c:pt>
                <c:pt idx="171">
                  <c:v>43980.041250000002</c:v>
                </c:pt>
                <c:pt idx="172">
                  <c:v>44012.041250000002</c:v>
                </c:pt>
                <c:pt idx="173">
                  <c:v>44043.041250000002</c:v>
                </c:pt>
                <c:pt idx="174">
                  <c:v>44074.041250000002</c:v>
                </c:pt>
                <c:pt idx="175">
                  <c:v>44104.041250000002</c:v>
                </c:pt>
                <c:pt idx="176">
                  <c:v>44134.041250000002</c:v>
                </c:pt>
                <c:pt idx="177">
                  <c:v>44165.041250000002</c:v>
                </c:pt>
                <c:pt idx="178">
                  <c:v>44196.041250000002</c:v>
                </c:pt>
                <c:pt idx="179">
                  <c:v>44225.041250000002</c:v>
                </c:pt>
                <c:pt idx="180">
                  <c:v>44253.041250000002</c:v>
                </c:pt>
                <c:pt idx="181">
                  <c:v>44286.041250000002</c:v>
                </c:pt>
                <c:pt idx="182">
                  <c:v>44316.041250000002</c:v>
                </c:pt>
                <c:pt idx="183">
                  <c:v>44347.041250000002</c:v>
                </c:pt>
                <c:pt idx="184">
                  <c:v>44377.041250000002</c:v>
                </c:pt>
                <c:pt idx="185">
                  <c:v>44407.041250000002</c:v>
                </c:pt>
                <c:pt idx="186">
                  <c:v>44439.041250000002</c:v>
                </c:pt>
                <c:pt idx="187">
                  <c:v>44469.041250000002</c:v>
                </c:pt>
                <c:pt idx="188">
                  <c:v>44498.041250000002</c:v>
                </c:pt>
                <c:pt idx="189">
                  <c:v>44530.041250000002</c:v>
                </c:pt>
                <c:pt idx="190">
                  <c:v>44561.041250000002</c:v>
                </c:pt>
                <c:pt idx="191">
                  <c:v>44592.041250000002</c:v>
                </c:pt>
                <c:pt idx="192">
                  <c:v>44620.041250000002</c:v>
                </c:pt>
                <c:pt idx="193">
                  <c:v>44651.041250000002</c:v>
                </c:pt>
                <c:pt idx="194">
                  <c:v>44680.041250000002</c:v>
                </c:pt>
                <c:pt idx="195">
                  <c:v>44712.041250000002</c:v>
                </c:pt>
                <c:pt idx="196">
                  <c:v>44742.041250000002</c:v>
                </c:pt>
                <c:pt idx="197">
                  <c:v>44771.041250000002</c:v>
                </c:pt>
                <c:pt idx="198">
                  <c:v>44804.041250000002</c:v>
                </c:pt>
                <c:pt idx="199">
                  <c:v>44834.041250000002</c:v>
                </c:pt>
                <c:pt idx="200">
                  <c:v>44865.041250000002</c:v>
                </c:pt>
                <c:pt idx="201">
                  <c:v>44895.041250000002</c:v>
                </c:pt>
                <c:pt idx="202">
                  <c:v>44925.041250000002</c:v>
                </c:pt>
                <c:pt idx="203">
                  <c:v>44957.041250000002</c:v>
                </c:pt>
                <c:pt idx="204">
                  <c:v>44985.041250000002</c:v>
                </c:pt>
                <c:pt idx="205">
                  <c:v>45016.041250000002</c:v>
                </c:pt>
                <c:pt idx="206">
                  <c:v>45044.041250000002</c:v>
                </c:pt>
                <c:pt idx="207">
                  <c:v>45077.041250000002</c:v>
                </c:pt>
                <c:pt idx="208">
                  <c:v>45107.041250000002</c:v>
                </c:pt>
                <c:pt idx="209">
                  <c:v>45138.041250000002</c:v>
                </c:pt>
                <c:pt idx="210">
                  <c:v>45169.041250000002</c:v>
                </c:pt>
                <c:pt idx="211">
                  <c:v>45198.041250000002</c:v>
                </c:pt>
                <c:pt idx="212">
                  <c:v>45230.041250000002</c:v>
                </c:pt>
                <c:pt idx="213">
                  <c:v>45260.041250000002</c:v>
                </c:pt>
                <c:pt idx="214">
                  <c:v>45289.041250000002</c:v>
                </c:pt>
                <c:pt idx="215">
                  <c:v>45322.041250000002</c:v>
                </c:pt>
                <c:pt idx="216">
                  <c:v>45351.041250000002</c:v>
                </c:pt>
                <c:pt idx="217">
                  <c:v>45378.041250000002</c:v>
                </c:pt>
                <c:pt idx="218">
                  <c:v>45412.041250000002</c:v>
                </c:pt>
                <c:pt idx="219">
                  <c:v>45443.041250000002</c:v>
                </c:pt>
                <c:pt idx="220">
                  <c:v>45471.041250000002</c:v>
                </c:pt>
                <c:pt idx="221">
                  <c:v>45504.041250000002</c:v>
                </c:pt>
                <c:pt idx="222">
                  <c:v>45534.041250000002</c:v>
                </c:pt>
                <c:pt idx="223">
                  <c:v>45565.041250000002</c:v>
                </c:pt>
                <c:pt idx="224">
                  <c:v>45596.041250000002</c:v>
                </c:pt>
                <c:pt idx="225">
                  <c:v>45625.041250000002</c:v>
                </c:pt>
                <c:pt idx="226">
                  <c:v>45657.041250000002</c:v>
                </c:pt>
                <c:pt idx="227">
                  <c:v>45688.041250000002</c:v>
                </c:pt>
                <c:pt idx="228">
                  <c:v>45716.041250000002</c:v>
                </c:pt>
                <c:pt idx="229">
                  <c:v>45747.041250000002</c:v>
                </c:pt>
                <c:pt idx="230">
                  <c:v>45777.041250000002</c:v>
                </c:pt>
                <c:pt idx="231">
                  <c:v>45807.041250000002</c:v>
                </c:pt>
                <c:pt idx="232">
                  <c:v>45838.041250000002</c:v>
                </c:pt>
                <c:pt idx="233">
                  <c:v>45869.041250000002</c:v>
                </c:pt>
                <c:pt idx="234">
                  <c:v>45898.041250000002</c:v>
                </c:pt>
                <c:pt idx="235">
                  <c:v>45930.041250000002</c:v>
                </c:pt>
                <c:pt idx="236">
                  <c:v>45961.041250000002</c:v>
                </c:pt>
                <c:pt idx="237">
                  <c:v>45989.041250000002</c:v>
                </c:pt>
                <c:pt idx="238">
                  <c:v>46022.041250000002</c:v>
                </c:pt>
                <c:pt idx="239">
                  <c:v>46052.041250000002</c:v>
                </c:pt>
                <c:pt idx="240">
                  <c:v>46080.041250000002</c:v>
                </c:pt>
                <c:pt idx="241">
                  <c:v>46112.041250000002</c:v>
                </c:pt>
                <c:pt idx="242">
                  <c:v>46142.041250000002</c:v>
                </c:pt>
                <c:pt idx="243">
                  <c:v>46171.041250000002</c:v>
                </c:pt>
                <c:pt idx="244">
                  <c:v>46203.041250000002</c:v>
                </c:pt>
                <c:pt idx="245">
                  <c:v>46209.041250000002</c:v>
                </c:pt>
              </c:numCache>
            </c:numRef>
          </c:cat>
          <c:val>
            <c:numRef>
              <c:f>report!$V$2:$V$247</c:f>
              <c:numCache>
                <c:formatCode>##,##0.00###########</c:formatCode>
                <c:ptCount val="246"/>
                <c:pt idx="0">
                  <c:v>56739.898437999997</c:v>
                </c:pt>
                <c:pt idx="1">
                  <c:v>56593.648437999997</c:v>
                </c:pt>
                <c:pt idx="2">
                  <c:v>56362.671875</c:v>
                </c:pt>
                <c:pt idx="3">
                  <c:v>56482.910155999998</c:v>
                </c:pt>
                <c:pt idx="4">
                  <c:v>56503.039062999997</c:v>
                </c:pt>
                <c:pt idx="5">
                  <c:v>56714.921875</c:v>
                </c:pt>
                <c:pt idx="6">
                  <c:v>56273.449219000002</c:v>
                </c:pt>
                <c:pt idx="7">
                  <c:v>55841.300780999998</c:v>
                </c:pt>
                <c:pt idx="8">
                  <c:v>55517.808594000002</c:v>
                </c:pt>
                <c:pt idx="9">
                  <c:v>56478.898437999997</c:v>
                </c:pt>
                <c:pt idx="10">
                  <c:v>57035.898437999997</c:v>
                </c:pt>
                <c:pt idx="11">
                  <c:v>57323.140625</c:v>
                </c:pt>
                <c:pt idx="12">
                  <c:v>57083.558594000002</c:v>
                </c:pt>
                <c:pt idx="13">
                  <c:v>57820.78125</c:v>
                </c:pt>
                <c:pt idx="14">
                  <c:v>57395.851562999997</c:v>
                </c:pt>
                <c:pt idx="15">
                  <c:v>57397.929687999997</c:v>
                </c:pt>
                <c:pt idx="16">
                  <c:v>56900.070312999997</c:v>
                </c:pt>
                <c:pt idx="17">
                  <c:v>56650.261719000002</c:v>
                </c:pt>
                <c:pt idx="18">
                  <c:v>57071.558594000002</c:v>
                </c:pt>
                <c:pt idx="19">
                  <c:v>57154.21875</c:v>
                </c:pt>
                <c:pt idx="20">
                  <c:v>58260.878905999998</c:v>
                </c:pt>
                <c:pt idx="21">
                  <c:v>58070.171875</c:v>
                </c:pt>
                <c:pt idx="22">
                  <c:v>58342.871094000002</c:v>
                </c:pt>
                <c:pt idx="23">
                  <c:v>58675.039062999997</c:v>
                </c:pt>
                <c:pt idx="24">
                  <c:v>58477.570312999997</c:v>
                </c:pt>
                <c:pt idx="25">
                  <c:v>58167.269530999998</c:v>
                </c:pt>
                <c:pt idx="26">
                  <c:v>58320.480469000002</c:v>
                </c:pt>
                <c:pt idx="27">
                  <c:v>58319.699219000002</c:v>
                </c:pt>
                <c:pt idx="28">
                  <c:v>58462.789062999997</c:v>
                </c:pt>
                <c:pt idx="29">
                  <c:v>58221.46875</c:v>
                </c:pt>
                <c:pt idx="30">
                  <c:v>58663.96875</c:v>
                </c:pt>
                <c:pt idx="31">
                  <c:v>59225.480469000002</c:v>
                </c:pt>
                <c:pt idx="32">
                  <c:v>58132.398437999997</c:v>
                </c:pt>
                <c:pt idx="33">
                  <c:v>58647.519530999998</c:v>
                </c:pt>
                <c:pt idx="34">
                  <c:v>59151.679687999997</c:v>
                </c:pt>
                <c:pt idx="35">
                  <c:v>58708.859375</c:v>
                </c:pt>
                <c:pt idx="36">
                  <c:v>58865.03125</c:v>
                </c:pt>
                <c:pt idx="37">
                  <c:v>59747.878905999998</c:v>
                </c:pt>
                <c:pt idx="38">
                  <c:v>59651.570312999997</c:v>
                </c:pt>
                <c:pt idx="39">
                  <c:v>59867.621094000002</c:v>
                </c:pt>
                <c:pt idx="40">
                  <c:v>60479.761719000002</c:v>
                </c:pt>
                <c:pt idx="41">
                  <c:v>60649.761719000002</c:v>
                </c:pt>
                <c:pt idx="42">
                  <c:v>60679.53125</c:v>
                </c:pt>
                <c:pt idx="43">
                  <c:v>60489.191405999998</c:v>
                </c:pt>
                <c:pt idx="44">
                  <c:v>61553.578125</c:v>
                </c:pt>
                <c:pt idx="45">
                  <c:v>61798.941405999998</c:v>
                </c:pt>
                <c:pt idx="46">
                  <c:v>62102.128905999998</c:v>
                </c:pt>
                <c:pt idx="47">
                  <c:v>61596.230469000002</c:v>
                </c:pt>
                <c:pt idx="48">
                  <c:v>61323.949219000002</c:v>
                </c:pt>
                <c:pt idx="49">
                  <c:v>61200.269530999998</c:v>
                </c:pt>
                <c:pt idx="50">
                  <c:v>62004.109375</c:v>
                </c:pt>
                <c:pt idx="51">
                  <c:v>62368.191405999998</c:v>
                </c:pt>
                <c:pt idx="52">
                  <c:v>61905.949219000002</c:v>
                </c:pt>
                <c:pt idx="53">
                  <c:v>61945.039062999997</c:v>
                </c:pt>
                <c:pt idx="54">
                  <c:v>62307.070312999997</c:v>
                </c:pt>
                <c:pt idx="55">
                  <c:v>62610.121094000002</c:v>
                </c:pt>
                <c:pt idx="56">
                  <c:v>61929.71875</c:v>
                </c:pt>
                <c:pt idx="57">
                  <c:v>62220.308594000002</c:v>
                </c:pt>
                <c:pt idx="58">
                  <c:v>61984.429687999997</c:v>
                </c:pt>
                <c:pt idx="59">
                  <c:v>60404.191405999998</c:v>
                </c:pt>
                <c:pt idx="60">
                  <c:v>60215.75</c:v>
                </c:pt>
                <c:pt idx="61">
                  <c:v>60888.558594000002</c:v>
                </c:pt>
                <c:pt idx="62">
                  <c:v>60819.308594000002</c:v>
                </c:pt>
                <c:pt idx="63">
                  <c:v>60568.929687999997</c:v>
                </c:pt>
                <c:pt idx="64">
                  <c:v>61045.089844000002</c:v>
                </c:pt>
                <c:pt idx="65">
                  <c:v>60785.621094000002</c:v>
                </c:pt>
                <c:pt idx="66">
                  <c:v>61637.539062999997</c:v>
                </c:pt>
                <c:pt idx="67">
                  <c:v>62544.558594000002</c:v>
                </c:pt>
                <c:pt idx="68">
                  <c:v>61743.921875</c:v>
                </c:pt>
                <c:pt idx="69">
                  <c:v>61672.351562999997</c:v>
                </c:pt>
                <c:pt idx="70">
                  <c:v>60773.78125</c:v>
                </c:pt>
                <c:pt idx="71">
                  <c:v>61308.199219000002</c:v>
                </c:pt>
                <c:pt idx="72">
                  <c:v>61511.949219000002</c:v>
                </c:pt>
                <c:pt idx="73">
                  <c:v>61145.488280999998</c:v>
                </c:pt>
                <c:pt idx="74">
                  <c:v>61860.300780999998</c:v>
                </c:pt>
                <c:pt idx="75">
                  <c:v>62795.238280999998</c:v>
                </c:pt>
                <c:pt idx="76">
                  <c:v>63352.851562999997</c:v>
                </c:pt>
                <c:pt idx="77">
                  <c:v>62889.859375</c:v>
                </c:pt>
                <c:pt idx="78">
                  <c:v>62769.179687999997</c:v>
                </c:pt>
                <c:pt idx="79">
                  <c:v>62153.300780999998</c:v>
                </c:pt>
                <c:pt idx="80">
                  <c:v>62390.730469000002</c:v>
                </c:pt>
                <c:pt idx="81">
                  <c:v>63378.511719000002</c:v>
                </c:pt>
                <c:pt idx="82">
                  <c:v>63093.121094000002</c:v>
                </c:pt>
                <c:pt idx="83">
                  <c:v>63376.128905999998</c:v>
                </c:pt>
                <c:pt idx="84">
                  <c:v>63094.011719000002</c:v>
                </c:pt>
                <c:pt idx="85">
                  <c:v>64321.269530999998</c:v>
                </c:pt>
                <c:pt idx="86">
                  <c:v>63190.660155999998</c:v>
                </c:pt>
                <c:pt idx="87">
                  <c:v>62529.441405999998</c:v>
                </c:pt>
                <c:pt idx="88">
                  <c:v>62328.628905999998</c:v>
                </c:pt>
                <c:pt idx="89">
                  <c:v>61984.449219000002</c:v>
                </c:pt>
                <c:pt idx="90">
                  <c:v>62080.578125</c:v>
                </c:pt>
                <c:pt idx="91">
                  <c:v>61672.191405999998</c:v>
                </c:pt>
                <c:pt idx="92">
                  <c:v>61877.269530999998</c:v>
                </c:pt>
                <c:pt idx="93">
                  <c:v>62522.609375</c:v>
                </c:pt>
                <c:pt idx="94">
                  <c:v>63214.558594000002</c:v>
                </c:pt>
                <c:pt idx="95">
                  <c:v>63242.710937999997</c:v>
                </c:pt>
                <c:pt idx="96">
                  <c:v>62694.730469000002</c:v>
                </c:pt>
                <c:pt idx="97">
                  <c:v>63596.78125</c:v>
                </c:pt>
                <c:pt idx="98">
                  <c:v>63551.128905999998</c:v>
                </c:pt>
                <c:pt idx="99">
                  <c:v>63820.609375</c:v>
                </c:pt>
                <c:pt idx="100">
                  <c:v>63597.441405999998</c:v>
                </c:pt>
                <c:pt idx="101">
                  <c:v>63714.859375</c:v>
                </c:pt>
                <c:pt idx="102">
                  <c:v>63378.300780999998</c:v>
                </c:pt>
                <c:pt idx="103">
                  <c:v>63528</c:v>
                </c:pt>
                <c:pt idx="104">
                  <c:v>63694.679687999997</c:v>
                </c:pt>
                <c:pt idx="105">
                  <c:v>63409.398437999997</c:v>
                </c:pt>
                <c:pt idx="106">
                  <c:v>64712.070312999997</c:v>
                </c:pt>
                <c:pt idx="107">
                  <c:v>64326.160155999998</c:v>
                </c:pt>
                <c:pt idx="108">
                  <c:v>63230.871094000002</c:v>
                </c:pt>
                <c:pt idx="109">
                  <c:v>62528.058594000002</c:v>
                </c:pt>
                <c:pt idx="110">
                  <c:v>63807.320312999997</c:v>
                </c:pt>
                <c:pt idx="111">
                  <c:v>63966.980469000002</c:v>
                </c:pt>
                <c:pt idx="112">
                  <c:v>64778.179687999997</c:v>
                </c:pt>
                <c:pt idx="113">
                  <c:v>65595.40625</c:v>
                </c:pt>
                <c:pt idx="114">
                  <c:v>65616.429688000004</c:v>
                </c:pt>
                <c:pt idx="115">
                  <c:v>65636.359375</c:v>
                </c:pt>
                <c:pt idx="116">
                  <c:v>65347.078125</c:v>
                </c:pt>
                <c:pt idx="117">
                  <c:v>64366.699219000002</c:v>
                </c:pt>
                <c:pt idx="118">
                  <c:v>64308.289062999997</c:v>
                </c:pt>
                <c:pt idx="119">
                  <c:v>64141.359375</c:v>
                </c:pt>
                <c:pt idx="120">
                  <c:v>65014.371094000002</c:v>
                </c:pt>
                <c:pt idx="121">
                  <c:v>65022.238280999998</c:v>
                </c:pt>
                <c:pt idx="122">
                  <c:v>64871.699219000002</c:v>
                </c:pt>
                <c:pt idx="123">
                  <c:v>65521.011719000002</c:v>
                </c:pt>
                <c:pt idx="124">
                  <c:v>66062.617188000004</c:v>
                </c:pt>
                <c:pt idx="125">
                  <c:v>66745.609375</c:v>
                </c:pt>
                <c:pt idx="126">
                  <c:v>66337.421875</c:v>
                </c:pt>
                <c:pt idx="127">
                  <c:v>67403.078125</c:v>
                </c:pt>
                <c:pt idx="128">
                  <c:v>66649.28125</c:v>
                </c:pt>
                <c:pt idx="129">
                  <c:v>67141.109375</c:v>
                </c:pt>
                <c:pt idx="130">
                  <c:v>67467.820313000004</c:v>
                </c:pt>
                <c:pt idx="131">
                  <c:v>67683.382813000004</c:v>
                </c:pt>
                <c:pt idx="132">
                  <c:v>68036.132813000004</c:v>
                </c:pt>
                <c:pt idx="133">
                  <c:v>68347.976563000004</c:v>
                </c:pt>
                <c:pt idx="134">
                  <c:v>68195.148438000004</c:v>
                </c:pt>
                <c:pt idx="135">
                  <c:v>68706.03125</c:v>
                </c:pt>
                <c:pt idx="136">
                  <c:v>68877.640625</c:v>
                </c:pt>
                <c:pt idx="137">
                  <c:v>69959.726563000004</c:v>
                </c:pt>
                <c:pt idx="138">
                  <c:v>69492.429688000004</c:v>
                </c:pt>
                <c:pt idx="139">
                  <c:v>67598.953125</c:v>
                </c:pt>
                <c:pt idx="140">
                  <c:v>69735.0625</c:v>
                </c:pt>
                <c:pt idx="141">
                  <c:v>68730.6875</c:v>
                </c:pt>
                <c:pt idx="142">
                  <c:v>68858.28125</c:v>
                </c:pt>
                <c:pt idx="143">
                  <c:v>70809.570313000004</c:v>
                </c:pt>
                <c:pt idx="144">
                  <c:v>71509.453125</c:v>
                </c:pt>
                <c:pt idx="145">
                  <c:v>71271.5625</c:v>
                </c:pt>
                <c:pt idx="146">
                  <c:v>71601.351563000004</c:v>
                </c:pt>
                <c:pt idx="147">
                  <c:v>70888.039063000004</c:v>
                </c:pt>
                <c:pt idx="148">
                  <c:v>71478.8125</c:v>
                </c:pt>
                <c:pt idx="149">
                  <c:v>71353.289063000004</c:v>
                </c:pt>
                <c:pt idx="150">
                  <c:v>71155.6875</c:v>
                </c:pt>
                <c:pt idx="151">
                  <c:v>70885.21875</c:v>
                </c:pt>
                <c:pt idx="152">
                  <c:v>70845.65625</c:v>
                </c:pt>
                <c:pt idx="153">
                  <c:v>71436.546875</c:v>
                </c:pt>
                <c:pt idx="154">
                  <c:v>70633.773438000004</c:v>
                </c:pt>
                <c:pt idx="155">
                  <c:v>70934.820313000004</c:v>
                </c:pt>
                <c:pt idx="156">
                  <c:v>71144.351563000004</c:v>
                </c:pt>
                <c:pt idx="157">
                  <c:v>71390.101563000004</c:v>
                </c:pt>
                <c:pt idx="158">
                  <c:v>71405.773438000004</c:v>
                </c:pt>
                <c:pt idx="159">
                  <c:v>70584.75</c:v>
                </c:pt>
                <c:pt idx="160">
                  <c:v>68436.257813000004</c:v>
                </c:pt>
                <c:pt idx="161">
                  <c:v>70428.03125</c:v>
                </c:pt>
                <c:pt idx="162">
                  <c:v>68379.421875</c:v>
                </c:pt>
                <c:pt idx="163">
                  <c:v>67313.5</c:v>
                </c:pt>
                <c:pt idx="164">
                  <c:v>66890.273438000004</c:v>
                </c:pt>
                <c:pt idx="165">
                  <c:v>67397.9375</c:v>
                </c:pt>
                <c:pt idx="166">
                  <c:v>67559.78125</c:v>
                </c:pt>
                <c:pt idx="167">
                  <c:v>66085.8125</c:v>
                </c:pt>
                <c:pt idx="168">
                  <c:v>65648.90625</c:v>
                </c:pt>
                <c:pt idx="169">
                  <c:v>66196.921875</c:v>
                </c:pt>
                <c:pt idx="170">
                  <c:v>65779.226563000004</c:v>
                </c:pt>
                <c:pt idx="171">
                  <c:v>65199.398437999997</c:v>
                </c:pt>
                <c:pt idx="172">
                  <c:v>64134.898437999997</c:v>
                </c:pt>
                <c:pt idx="173">
                  <c:v>64370.949219000002</c:v>
                </c:pt>
                <c:pt idx="174">
                  <c:v>65775.140625</c:v>
                </c:pt>
                <c:pt idx="175">
                  <c:v>68187.601563000004</c:v>
                </c:pt>
                <c:pt idx="176">
                  <c:v>67061.34375</c:v>
                </c:pt>
                <c:pt idx="177">
                  <c:v>66685.757813000004</c:v>
                </c:pt>
                <c:pt idx="178">
                  <c:v>67087.640625</c:v>
                </c:pt>
                <c:pt idx="179">
                  <c:v>68610.71875</c:v>
                </c:pt>
                <c:pt idx="180">
                  <c:v>69702.023438000004</c:v>
                </c:pt>
                <c:pt idx="181">
                  <c:v>68986.632813000004</c:v>
                </c:pt>
                <c:pt idx="182">
                  <c:v>68529.21875</c:v>
                </c:pt>
                <c:pt idx="183">
                  <c:v>70221.757813000004</c:v>
                </c:pt>
                <c:pt idx="184">
                  <c:v>70314.1875</c:v>
                </c:pt>
                <c:pt idx="185">
                  <c:v>70023.390625</c:v>
                </c:pt>
                <c:pt idx="186">
                  <c:v>69595.132813000004</c:v>
                </c:pt>
                <c:pt idx="187">
                  <c:v>68941.460938000004</c:v>
                </c:pt>
                <c:pt idx="188">
                  <c:v>69634.710938000004</c:v>
                </c:pt>
                <c:pt idx="189">
                  <c:v>69095.023438000004</c:v>
                </c:pt>
                <c:pt idx="190">
                  <c:v>69825.9375</c:v>
                </c:pt>
                <c:pt idx="191">
                  <c:v>70083.726563000004</c:v>
                </c:pt>
                <c:pt idx="192">
                  <c:v>68809.171875</c:v>
                </c:pt>
                <c:pt idx="193">
                  <c:v>68836.921875</c:v>
                </c:pt>
                <c:pt idx="194">
                  <c:v>68631.15625</c:v>
                </c:pt>
                <c:pt idx="195">
                  <c:v>69230.5625</c:v>
                </c:pt>
                <c:pt idx="196">
                  <c:v>67992.359375</c:v>
                </c:pt>
                <c:pt idx="197">
                  <c:v>67269.289063000004</c:v>
                </c:pt>
                <c:pt idx="198">
                  <c:v>67097.0625</c:v>
                </c:pt>
                <c:pt idx="199">
                  <c:v>67858.09375</c:v>
                </c:pt>
                <c:pt idx="200">
                  <c:v>67283.601563000004</c:v>
                </c:pt>
                <c:pt idx="201">
                  <c:v>68590.570313000004</c:v>
                </c:pt>
                <c:pt idx="202">
                  <c:v>69855.226563000004</c:v>
                </c:pt>
                <c:pt idx="203">
                  <c:v>70019.453125</c:v>
                </c:pt>
                <c:pt idx="204">
                  <c:v>69855.578125</c:v>
                </c:pt>
                <c:pt idx="205">
                  <c:v>70246.296875</c:v>
                </c:pt>
                <c:pt idx="206">
                  <c:v>70036.65625</c:v>
                </c:pt>
                <c:pt idx="207">
                  <c:v>70187.453125</c:v>
                </c:pt>
                <c:pt idx="208">
                  <c:v>69206.851563000004</c:v>
                </c:pt>
                <c:pt idx="209">
                  <c:v>67976.5</c:v>
                </c:pt>
                <c:pt idx="210">
                  <c:v>68405.203125</c:v>
                </c:pt>
                <c:pt idx="211">
                  <c:v>68555.632813000004</c:v>
                </c:pt>
                <c:pt idx="212">
                  <c:v>68893.929688000004</c:v>
                </c:pt>
                <c:pt idx="213">
                  <c:v>68384.40625</c:v>
                </c:pt>
                <c:pt idx="214">
                  <c:v>68333.46875</c:v>
                </c:pt>
                <c:pt idx="215">
                  <c:v>68261.171875</c:v>
                </c:pt>
                <c:pt idx="216">
                  <c:v>69197.570313000004</c:v>
                </c:pt>
                <c:pt idx="217">
                  <c:v>70021.351563000004</c:v>
                </c:pt>
                <c:pt idx="218">
                  <c:v>68866.28125</c:v>
                </c:pt>
                <c:pt idx="219">
                  <c:v>68587.742188000004</c:v>
                </c:pt>
                <c:pt idx="220">
                  <c:v>68137.03125</c:v>
                </c:pt>
                <c:pt idx="221">
                  <c:v>68890.328125</c:v>
                </c:pt>
                <c:pt idx="222">
                  <c:v>68285.820313000004</c:v>
                </c:pt>
                <c:pt idx="223">
                  <c:v>67392.1875</c:v>
                </c:pt>
                <c:pt idx="224">
                  <c:v>66141.382813000004</c:v>
                </c:pt>
                <c:pt idx="225">
                  <c:v>65650.226563000004</c:v>
                </c:pt>
                <c:pt idx="226">
                  <c:v>65409.480469000002</c:v>
                </c:pt>
                <c:pt idx="227">
                  <c:v>64821.609375</c:v>
                </c:pt>
                <c:pt idx="228">
                  <c:v>67954.546875</c:v>
                </c:pt>
                <c:pt idx="229">
                  <c:v>68207.601563000004</c:v>
                </c:pt>
                <c:pt idx="230">
                  <c:v>68482.9375</c:v>
                </c:pt>
                <c:pt idx="231">
                  <c:v>68304.726563000004</c:v>
                </c:pt>
                <c:pt idx="232">
                  <c:v>68265.109375</c:v>
                </c:pt>
                <c:pt idx="233">
                  <c:v>67705.367188000004</c:v>
                </c:pt>
                <c:pt idx="234">
                  <c:v>67125.257813000004</c:v>
                </c:pt>
                <c:pt idx="235">
                  <c:v>66848.421875</c:v>
                </c:pt>
                <c:pt idx="236">
                  <c:v>66278.007813000004</c:v>
                </c:pt>
                <c:pt idx="237">
                  <c:v>67416.21875</c:v>
                </c:pt>
                <c:pt idx="238">
                  <c:v>67226.007813000004</c:v>
                </c:pt>
                <c:pt idx="239">
                  <c:v>67640.59375</c:v>
                </c:pt>
                <c:pt idx="240">
                  <c:v>66966.679688000004</c:v>
                </c:pt>
                <c:pt idx="241">
                  <c:v>67247.789063000004</c:v>
                </c:pt>
                <c:pt idx="242">
                  <c:v>67071.109375</c:v>
                </c:pt>
                <c:pt idx="243">
                  <c:v>67060.492188000004</c:v>
                </c:pt>
                <c:pt idx="244">
                  <c:v>67466.460938000004</c:v>
                </c:pt>
                <c:pt idx="245">
                  <c:v>66674.703099999999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05-4FAD-8124-3D19624E2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1906960"/>
        <c:axId val="1929287408"/>
      </c:lineChart>
      <c:dateAx>
        <c:axId val="1901906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9287408"/>
        <c:crosses val="autoZero"/>
        <c:auto val="0"/>
        <c:lblOffset val="100"/>
        <c:baseTimeUnit val="months"/>
        <c:majorUnit val="2"/>
        <c:majorTimeUnit val="years"/>
      </c:dateAx>
      <c:valAx>
        <c:axId val="192928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Puntos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0190696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BIMBOA — Tasa de crecimiento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BIMBOA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Crecimiento!$A$2:$A$304</c:f>
              <c:numCache>
                <c:formatCode>m/d/yyyy</c:formatCode>
                <c:ptCount val="303"/>
                <c:pt idx="0">
                  <c:v>38776.041250000002</c:v>
                </c:pt>
                <c:pt idx="1">
                  <c:v>38807.041250000002</c:v>
                </c:pt>
                <c:pt idx="2">
                  <c:v>38835.041250000002</c:v>
                </c:pt>
                <c:pt idx="3">
                  <c:v>38868.041250000002</c:v>
                </c:pt>
                <c:pt idx="4">
                  <c:v>38898.041250000002</c:v>
                </c:pt>
                <c:pt idx="5">
                  <c:v>38929.041250000002</c:v>
                </c:pt>
                <c:pt idx="6">
                  <c:v>38960.041250000002</c:v>
                </c:pt>
                <c:pt idx="7">
                  <c:v>38989.041250000002</c:v>
                </c:pt>
                <c:pt idx="8">
                  <c:v>39021.041250000002</c:v>
                </c:pt>
                <c:pt idx="9">
                  <c:v>39051.041250000002</c:v>
                </c:pt>
                <c:pt idx="10">
                  <c:v>39080.041250000002</c:v>
                </c:pt>
                <c:pt idx="11">
                  <c:v>39113.041250000002</c:v>
                </c:pt>
                <c:pt idx="12">
                  <c:v>39141.041250000002</c:v>
                </c:pt>
                <c:pt idx="13">
                  <c:v>39171.041250000002</c:v>
                </c:pt>
                <c:pt idx="14">
                  <c:v>39202.041250000002</c:v>
                </c:pt>
                <c:pt idx="15">
                  <c:v>39233.041250000002</c:v>
                </c:pt>
                <c:pt idx="16">
                  <c:v>39262.041250000002</c:v>
                </c:pt>
                <c:pt idx="17">
                  <c:v>39294.041250000002</c:v>
                </c:pt>
                <c:pt idx="18">
                  <c:v>39325.041250000002</c:v>
                </c:pt>
                <c:pt idx="19">
                  <c:v>39353.041250000002</c:v>
                </c:pt>
                <c:pt idx="20">
                  <c:v>39386.041250000002</c:v>
                </c:pt>
                <c:pt idx="21">
                  <c:v>39416.041250000002</c:v>
                </c:pt>
                <c:pt idx="22">
                  <c:v>39447.041250000002</c:v>
                </c:pt>
                <c:pt idx="23">
                  <c:v>39478.041250000002</c:v>
                </c:pt>
                <c:pt idx="24">
                  <c:v>39507.041250000002</c:v>
                </c:pt>
                <c:pt idx="25">
                  <c:v>39538.041250000002</c:v>
                </c:pt>
                <c:pt idx="26">
                  <c:v>39568.041250000002</c:v>
                </c:pt>
                <c:pt idx="27">
                  <c:v>39598.041250000002</c:v>
                </c:pt>
                <c:pt idx="28">
                  <c:v>39629.041250000002</c:v>
                </c:pt>
                <c:pt idx="29">
                  <c:v>39660.041250000002</c:v>
                </c:pt>
                <c:pt idx="30">
                  <c:v>39689.041250000002</c:v>
                </c:pt>
                <c:pt idx="31">
                  <c:v>39721.041250000002</c:v>
                </c:pt>
                <c:pt idx="32">
                  <c:v>39752.041250000002</c:v>
                </c:pt>
                <c:pt idx="33">
                  <c:v>39780.041250000002</c:v>
                </c:pt>
                <c:pt idx="34">
                  <c:v>39813.041250000002</c:v>
                </c:pt>
                <c:pt idx="35">
                  <c:v>39843.041250000002</c:v>
                </c:pt>
                <c:pt idx="36">
                  <c:v>39871.041250000002</c:v>
                </c:pt>
                <c:pt idx="37">
                  <c:v>39903.041250000002</c:v>
                </c:pt>
                <c:pt idx="38">
                  <c:v>39933.041250000002</c:v>
                </c:pt>
                <c:pt idx="39">
                  <c:v>39962.041250000002</c:v>
                </c:pt>
                <c:pt idx="40">
                  <c:v>39994.041250000002</c:v>
                </c:pt>
                <c:pt idx="41">
                  <c:v>40025.041250000002</c:v>
                </c:pt>
                <c:pt idx="42">
                  <c:v>40056.041250000002</c:v>
                </c:pt>
                <c:pt idx="43">
                  <c:v>40086.041250000002</c:v>
                </c:pt>
                <c:pt idx="44">
                  <c:v>40116.041250000002</c:v>
                </c:pt>
                <c:pt idx="45">
                  <c:v>40147.041250000002</c:v>
                </c:pt>
                <c:pt idx="46">
                  <c:v>40178.041250000002</c:v>
                </c:pt>
                <c:pt idx="47">
                  <c:v>40207.041250000002</c:v>
                </c:pt>
                <c:pt idx="48">
                  <c:v>40235.041250000002</c:v>
                </c:pt>
                <c:pt idx="49">
                  <c:v>40268.041250000002</c:v>
                </c:pt>
                <c:pt idx="50">
                  <c:v>40298.041250000002</c:v>
                </c:pt>
                <c:pt idx="51">
                  <c:v>40329.041250000002</c:v>
                </c:pt>
                <c:pt idx="52">
                  <c:v>40359.041250000002</c:v>
                </c:pt>
                <c:pt idx="53">
                  <c:v>40389.041250000002</c:v>
                </c:pt>
                <c:pt idx="54">
                  <c:v>40421.041250000002</c:v>
                </c:pt>
                <c:pt idx="55">
                  <c:v>40451.041250000002</c:v>
                </c:pt>
                <c:pt idx="56">
                  <c:v>40480.041250000002</c:v>
                </c:pt>
                <c:pt idx="57">
                  <c:v>40512.041250000002</c:v>
                </c:pt>
                <c:pt idx="58">
                  <c:v>40543.041250000002</c:v>
                </c:pt>
                <c:pt idx="59">
                  <c:v>40574.041250000002</c:v>
                </c:pt>
                <c:pt idx="60">
                  <c:v>40602.041250000002</c:v>
                </c:pt>
                <c:pt idx="61">
                  <c:v>40633.041250000002</c:v>
                </c:pt>
                <c:pt idx="62">
                  <c:v>40662.041250000002</c:v>
                </c:pt>
                <c:pt idx="63">
                  <c:v>40694.041250000002</c:v>
                </c:pt>
                <c:pt idx="64">
                  <c:v>40724.041250000002</c:v>
                </c:pt>
                <c:pt idx="65">
                  <c:v>40753.041250000002</c:v>
                </c:pt>
                <c:pt idx="66">
                  <c:v>40786.041250000002</c:v>
                </c:pt>
                <c:pt idx="67">
                  <c:v>40816.041250000002</c:v>
                </c:pt>
                <c:pt idx="68">
                  <c:v>40847.041250000002</c:v>
                </c:pt>
                <c:pt idx="69">
                  <c:v>40877.041250000002</c:v>
                </c:pt>
                <c:pt idx="70">
                  <c:v>40907.041250000002</c:v>
                </c:pt>
                <c:pt idx="71">
                  <c:v>40939.041250000002</c:v>
                </c:pt>
                <c:pt idx="72">
                  <c:v>40968.041250000002</c:v>
                </c:pt>
                <c:pt idx="73">
                  <c:v>40998.041250000002</c:v>
                </c:pt>
                <c:pt idx="74">
                  <c:v>41029.041250000002</c:v>
                </c:pt>
                <c:pt idx="75">
                  <c:v>41060.041250000002</c:v>
                </c:pt>
                <c:pt idx="76">
                  <c:v>41089.041250000002</c:v>
                </c:pt>
                <c:pt idx="77">
                  <c:v>41121.041250000002</c:v>
                </c:pt>
                <c:pt idx="78">
                  <c:v>41152.041250000002</c:v>
                </c:pt>
                <c:pt idx="79">
                  <c:v>41180.041250000002</c:v>
                </c:pt>
                <c:pt idx="80">
                  <c:v>41213.041250000002</c:v>
                </c:pt>
                <c:pt idx="81">
                  <c:v>41243.041250000002</c:v>
                </c:pt>
                <c:pt idx="82">
                  <c:v>41274.041250000002</c:v>
                </c:pt>
                <c:pt idx="83">
                  <c:v>41305.041250000002</c:v>
                </c:pt>
                <c:pt idx="84">
                  <c:v>41333.041250000002</c:v>
                </c:pt>
                <c:pt idx="85">
                  <c:v>41360.041250000002</c:v>
                </c:pt>
                <c:pt idx="86">
                  <c:v>41394.041250000002</c:v>
                </c:pt>
                <c:pt idx="87">
                  <c:v>41425.041250000002</c:v>
                </c:pt>
                <c:pt idx="88">
                  <c:v>41453.041250000002</c:v>
                </c:pt>
                <c:pt idx="89">
                  <c:v>41486.041250000002</c:v>
                </c:pt>
                <c:pt idx="90">
                  <c:v>41516.041250000002</c:v>
                </c:pt>
                <c:pt idx="91">
                  <c:v>41547.041250000002</c:v>
                </c:pt>
                <c:pt idx="92">
                  <c:v>41578.041250000002</c:v>
                </c:pt>
                <c:pt idx="93">
                  <c:v>41607.041250000002</c:v>
                </c:pt>
                <c:pt idx="94">
                  <c:v>41639.041250000002</c:v>
                </c:pt>
                <c:pt idx="95">
                  <c:v>41670.041250000002</c:v>
                </c:pt>
                <c:pt idx="96">
                  <c:v>41698.041250000002</c:v>
                </c:pt>
                <c:pt idx="97">
                  <c:v>41729.041250000002</c:v>
                </c:pt>
                <c:pt idx="98">
                  <c:v>41759.041250000002</c:v>
                </c:pt>
                <c:pt idx="99">
                  <c:v>41789.041250000002</c:v>
                </c:pt>
                <c:pt idx="100">
                  <c:v>41820.041250000002</c:v>
                </c:pt>
                <c:pt idx="101">
                  <c:v>41851.041250000002</c:v>
                </c:pt>
                <c:pt idx="102">
                  <c:v>41880.041250000002</c:v>
                </c:pt>
                <c:pt idx="103">
                  <c:v>41912.041250000002</c:v>
                </c:pt>
                <c:pt idx="104">
                  <c:v>41943.041250000002</c:v>
                </c:pt>
                <c:pt idx="105">
                  <c:v>41971.041250000002</c:v>
                </c:pt>
                <c:pt idx="106">
                  <c:v>42004.041250000002</c:v>
                </c:pt>
                <c:pt idx="107">
                  <c:v>42034.041250000002</c:v>
                </c:pt>
                <c:pt idx="108">
                  <c:v>42062.041250000002</c:v>
                </c:pt>
                <c:pt idx="109">
                  <c:v>42094.041250000002</c:v>
                </c:pt>
                <c:pt idx="110">
                  <c:v>42124.041250000002</c:v>
                </c:pt>
                <c:pt idx="111">
                  <c:v>42153.041250000002</c:v>
                </c:pt>
                <c:pt idx="112">
                  <c:v>42185.041250000002</c:v>
                </c:pt>
                <c:pt idx="113">
                  <c:v>42216.041250000002</c:v>
                </c:pt>
                <c:pt idx="114">
                  <c:v>42247.041250000002</c:v>
                </c:pt>
                <c:pt idx="115">
                  <c:v>42277.041250000002</c:v>
                </c:pt>
                <c:pt idx="116">
                  <c:v>42307.041250000002</c:v>
                </c:pt>
                <c:pt idx="117">
                  <c:v>42338.041250000002</c:v>
                </c:pt>
                <c:pt idx="118">
                  <c:v>42369.041250000002</c:v>
                </c:pt>
                <c:pt idx="119">
                  <c:v>42398.041250000002</c:v>
                </c:pt>
                <c:pt idx="120">
                  <c:v>42429.041250000002</c:v>
                </c:pt>
                <c:pt idx="121">
                  <c:v>42460.041250000002</c:v>
                </c:pt>
                <c:pt idx="122">
                  <c:v>42489.041250000002</c:v>
                </c:pt>
                <c:pt idx="123">
                  <c:v>42521.041250000002</c:v>
                </c:pt>
                <c:pt idx="124">
                  <c:v>42551.041250000002</c:v>
                </c:pt>
                <c:pt idx="125">
                  <c:v>42580.041250000002</c:v>
                </c:pt>
                <c:pt idx="126">
                  <c:v>42613.041250000002</c:v>
                </c:pt>
                <c:pt idx="127">
                  <c:v>42643.041250000002</c:v>
                </c:pt>
                <c:pt idx="128">
                  <c:v>42674.041250000002</c:v>
                </c:pt>
                <c:pt idx="129">
                  <c:v>42704.041250000002</c:v>
                </c:pt>
                <c:pt idx="130">
                  <c:v>42734.041250000002</c:v>
                </c:pt>
                <c:pt idx="131">
                  <c:v>42766.041250000002</c:v>
                </c:pt>
                <c:pt idx="132">
                  <c:v>42794.041250000002</c:v>
                </c:pt>
                <c:pt idx="133">
                  <c:v>42825.041250000002</c:v>
                </c:pt>
                <c:pt idx="134">
                  <c:v>42853.041250000002</c:v>
                </c:pt>
                <c:pt idx="135">
                  <c:v>42886.041250000002</c:v>
                </c:pt>
                <c:pt idx="136">
                  <c:v>42916.041250000002</c:v>
                </c:pt>
                <c:pt idx="137">
                  <c:v>42947.041250000002</c:v>
                </c:pt>
                <c:pt idx="138">
                  <c:v>42978.041250000002</c:v>
                </c:pt>
                <c:pt idx="139">
                  <c:v>43007.041250000002</c:v>
                </c:pt>
                <c:pt idx="140">
                  <c:v>43039.041250000002</c:v>
                </c:pt>
                <c:pt idx="141">
                  <c:v>43069.041250000002</c:v>
                </c:pt>
                <c:pt idx="142">
                  <c:v>43098.041250000002</c:v>
                </c:pt>
                <c:pt idx="143">
                  <c:v>43131.041250000002</c:v>
                </c:pt>
                <c:pt idx="144">
                  <c:v>43159.041250000002</c:v>
                </c:pt>
                <c:pt idx="145">
                  <c:v>43187.041250000002</c:v>
                </c:pt>
                <c:pt idx="146">
                  <c:v>43220.041250000002</c:v>
                </c:pt>
                <c:pt idx="147">
                  <c:v>43251.041250000002</c:v>
                </c:pt>
                <c:pt idx="148">
                  <c:v>43280.041250000002</c:v>
                </c:pt>
                <c:pt idx="149">
                  <c:v>43312.041250000002</c:v>
                </c:pt>
                <c:pt idx="150">
                  <c:v>43343.041250000002</c:v>
                </c:pt>
                <c:pt idx="151">
                  <c:v>43371.041250000002</c:v>
                </c:pt>
                <c:pt idx="152">
                  <c:v>43404.041250000002</c:v>
                </c:pt>
                <c:pt idx="153">
                  <c:v>43434.041250000002</c:v>
                </c:pt>
                <c:pt idx="154">
                  <c:v>43465.041250000002</c:v>
                </c:pt>
                <c:pt idx="155">
                  <c:v>43496.041250000002</c:v>
                </c:pt>
                <c:pt idx="156">
                  <c:v>43524.041250000002</c:v>
                </c:pt>
                <c:pt idx="157">
                  <c:v>43553.041250000002</c:v>
                </c:pt>
                <c:pt idx="158">
                  <c:v>43585.041250000002</c:v>
                </c:pt>
                <c:pt idx="159">
                  <c:v>43616.041250000002</c:v>
                </c:pt>
                <c:pt idx="160">
                  <c:v>43644.041250000002</c:v>
                </c:pt>
                <c:pt idx="161">
                  <c:v>43677.041250000002</c:v>
                </c:pt>
                <c:pt idx="162">
                  <c:v>43707.041250000002</c:v>
                </c:pt>
                <c:pt idx="163">
                  <c:v>43738.041250000002</c:v>
                </c:pt>
                <c:pt idx="164">
                  <c:v>43769.041250000002</c:v>
                </c:pt>
                <c:pt idx="165">
                  <c:v>43798.041250000002</c:v>
                </c:pt>
                <c:pt idx="166">
                  <c:v>43830.041250000002</c:v>
                </c:pt>
                <c:pt idx="167">
                  <c:v>43861.041250000002</c:v>
                </c:pt>
                <c:pt idx="168">
                  <c:v>43889.041250000002</c:v>
                </c:pt>
                <c:pt idx="169">
                  <c:v>43921.041250000002</c:v>
                </c:pt>
                <c:pt idx="170">
                  <c:v>43951.041250000002</c:v>
                </c:pt>
                <c:pt idx="171">
                  <c:v>43980.041250000002</c:v>
                </c:pt>
                <c:pt idx="172">
                  <c:v>44012.041250000002</c:v>
                </c:pt>
                <c:pt idx="173">
                  <c:v>44043.041250000002</c:v>
                </c:pt>
                <c:pt idx="174">
                  <c:v>44074.041250000002</c:v>
                </c:pt>
                <c:pt idx="175">
                  <c:v>44104.041250000002</c:v>
                </c:pt>
                <c:pt idx="176">
                  <c:v>44134.041250000002</c:v>
                </c:pt>
                <c:pt idx="177">
                  <c:v>44165.041250000002</c:v>
                </c:pt>
                <c:pt idx="178">
                  <c:v>44196.041250000002</c:v>
                </c:pt>
                <c:pt idx="179">
                  <c:v>44225.041250000002</c:v>
                </c:pt>
                <c:pt idx="180">
                  <c:v>44253.041250000002</c:v>
                </c:pt>
                <c:pt idx="181">
                  <c:v>44286.041250000002</c:v>
                </c:pt>
                <c:pt idx="182">
                  <c:v>44316.041250000002</c:v>
                </c:pt>
                <c:pt idx="183">
                  <c:v>44347.041250000002</c:v>
                </c:pt>
                <c:pt idx="184">
                  <c:v>44377.041250000002</c:v>
                </c:pt>
                <c:pt idx="185">
                  <c:v>44407.041250000002</c:v>
                </c:pt>
                <c:pt idx="186">
                  <c:v>44439.041250000002</c:v>
                </c:pt>
                <c:pt idx="187">
                  <c:v>44469.041250000002</c:v>
                </c:pt>
                <c:pt idx="188">
                  <c:v>44498.041250000002</c:v>
                </c:pt>
                <c:pt idx="189">
                  <c:v>44530.041250000002</c:v>
                </c:pt>
                <c:pt idx="190">
                  <c:v>44561.041250000002</c:v>
                </c:pt>
                <c:pt idx="191">
                  <c:v>44592.041250000002</c:v>
                </c:pt>
                <c:pt idx="192">
                  <c:v>44620.041250000002</c:v>
                </c:pt>
                <c:pt idx="193">
                  <c:v>44651.041250000002</c:v>
                </c:pt>
                <c:pt idx="194">
                  <c:v>44680.041250000002</c:v>
                </c:pt>
                <c:pt idx="195">
                  <c:v>44712.041250000002</c:v>
                </c:pt>
                <c:pt idx="196">
                  <c:v>44742.041250000002</c:v>
                </c:pt>
                <c:pt idx="197">
                  <c:v>44771.041250000002</c:v>
                </c:pt>
                <c:pt idx="198">
                  <c:v>44804.041250000002</c:v>
                </c:pt>
                <c:pt idx="199">
                  <c:v>44834.041250000002</c:v>
                </c:pt>
                <c:pt idx="200">
                  <c:v>44865.041250000002</c:v>
                </c:pt>
                <c:pt idx="201">
                  <c:v>44895.041250000002</c:v>
                </c:pt>
                <c:pt idx="202">
                  <c:v>44925.041250000002</c:v>
                </c:pt>
                <c:pt idx="203">
                  <c:v>44957.041250000002</c:v>
                </c:pt>
                <c:pt idx="204">
                  <c:v>44985.041250000002</c:v>
                </c:pt>
                <c:pt idx="205">
                  <c:v>45016.041250000002</c:v>
                </c:pt>
                <c:pt idx="206">
                  <c:v>45044.041250000002</c:v>
                </c:pt>
                <c:pt idx="207">
                  <c:v>45077.041250000002</c:v>
                </c:pt>
                <c:pt idx="208">
                  <c:v>45107.041250000002</c:v>
                </c:pt>
                <c:pt idx="209">
                  <c:v>45138.041250000002</c:v>
                </c:pt>
                <c:pt idx="210">
                  <c:v>45169.041250000002</c:v>
                </c:pt>
                <c:pt idx="211">
                  <c:v>45198.041250000002</c:v>
                </c:pt>
                <c:pt idx="212">
                  <c:v>45230.041250000002</c:v>
                </c:pt>
                <c:pt idx="213">
                  <c:v>45260.041250000002</c:v>
                </c:pt>
                <c:pt idx="214">
                  <c:v>45289.041250000002</c:v>
                </c:pt>
                <c:pt idx="215">
                  <c:v>45322.041250000002</c:v>
                </c:pt>
                <c:pt idx="216">
                  <c:v>45351.041250000002</c:v>
                </c:pt>
                <c:pt idx="217">
                  <c:v>45378.041250000002</c:v>
                </c:pt>
                <c:pt idx="218">
                  <c:v>45412.041250000002</c:v>
                </c:pt>
                <c:pt idx="219">
                  <c:v>45443.041250000002</c:v>
                </c:pt>
                <c:pt idx="220">
                  <c:v>45471.041250000002</c:v>
                </c:pt>
                <c:pt idx="221">
                  <c:v>45504.041250000002</c:v>
                </c:pt>
                <c:pt idx="222">
                  <c:v>45534.041250000002</c:v>
                </c:pt>
                <c:pt idx="223">
                  <c:v>45565.041250000002</c:v>
                </c:pt>
                <c:pt idx="224">
                  <c:v>45596.041250000002</c:v>
                </c:pt>
                <c:pt idx="225">
                  <c:v>45625.041250000002</c:v>
                </c:pt>
                <c:pt idx="226">
                  <c:v>45657.041250000002</c:v>
                </c:pt>
                <c:pt idx="227">
                  <c:v>45688.041250000002</c:v>
                </c:pt>
                <c:pt idx="228">
                  <c:v>45716.041250000002</c:v>
                </c:pt>
                <c:pt idx="229">
                  <c:v>45747.041250000002</c:v>
                </c:pt>
                <c:pt idx="230">
                  <c:v>45777.041250000002</c:v>
                </c:pt>
                <c:pt idx="231">
                  <c:v>45807.041250000002</c:v>
                </c:pt>
                <c:pt idx="232">
                  <c:v>45838.041250000002</c:v>
                </c:pt>
                <c:pt idx="233">
                  <c:v>45869.041250000002</c:v>
                </c:pt>
                <c:pt idx="234">
                  <c:v>45898.041250000002</c:v>
                </c:pt>
                <c:pt idx="235">
                  <c:v>45930.041250000002</c:v>
                </c:pt>
                <c:pt idx="236">
                  <c:v>45961.041250000002</c:v>
                </c:pt>
                <c:pt idx="237">
                  <c:v>45989.041250000002</c:v>
                </c:pt>
                <c:pt idx="238">
                  <c:v>46022.041250000002</c:v>
                </c:pt>
                <c:pt idx="239">
                  <c:v>46052.041250000002</c:v>
                </c:pt>
                <c:pt idx="240">
                  <c:v>46080.041250000002</c:v>
                </c:pt>
                <c:pt idx="241">
                  <c:v>46112.041250000002</c:v>
                </c:pt>
                <c:pt idx="242">
                  <c:v>46142.041250000002</c:v>
                </c:pt>
                <c:pt idx="243">
                  <c:v>46171.041250000002</c:v>
                </c:pt>
                <c:pt idx="244">
                  <c:v>46203.041250000002</c:v>
                </c:pt>
                <c:pt idx="245">
                  <c:v>46209.041250000002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</c:numCache>
            </c:numRef>
          </c:cat>
          <c:val>
            <c:numRef>
              <c:f>Crecimiento!$B$2:$B$304</c:f>
              <c:numCache>
                <c:formatCode>0.0%</c:formatCode>
                <c:ptCount val="303"/>
                <c:pt idx="0">
                  <c:v>3.919372900335949E-2</c:v>
                </c:pt>
                <c:pt idx="1">
                  <c:v>3.2369942196531776E-2</c:v>
                </c:pt>
                <c:pt idx="2">
                  <c:v>4.8484848484848575E-2</c:v>
                </c:pt>
                <c:pt idx="3">
                  <c:v>-2.1352313167259718E-2</c:v>
                </c:pt>
                <c:pt idx="4">
                  <c:v>-3.7671232876712368E-2</c:v>
                </c:pt>
                <c:pt idx="5">
                  <c:v>-2.4227234753550486E-2</c:v>
                </c:pt>
                <c:pt idx="6">
                  <c:v>-6.7514931186704819E-2</c:v>
                </c:pt>
                <c:pt idx="7">
                  <c:v>-0.10587415834687719</c:v>
                </c:pt>
                <c:pt idx="8">
                  <c:v>-4.3738898756660705E-2</c:v>
                </c:pt>
                <c:pt idx="9">
                  <c:v>-0.16592592592592592</c:v>
                </c:pt>
                <c:pt idx="10">
                  <c:v>-1.9963702359346636E-2</c:v>
                </c:pt>
                <c:pt idx="11">
                  <c:v>6.2271062271062272E-2</c:v>
                </c:pt>
                <c:pt idx="12">
                  <c:v>-6.5742074927954031E-2</c:v>
                </c:pt>
                <c:pt idx="13">
                  <c:v>-6.2162162162162193E-2</c:v>
                </c:pt>
                <c:pt idx="14">
                  <c:v>-0.14165579237349568</c:v>
                </c:pt>
                <c:pt idx="15">
                  <c:v>3.4343131373725022E-2</c:v>
                </c:pt>
                <c:pt idx="16">
                  <c:v>8.6347344411860538E-2</c:v>
                </c:pt>
                <c:pt idx="17">
                  <c:v>-5.5110837438423488E-2</c:v>
                </c:pt>
                <c:pt idx="18">
                  <c:v>6.3697396430325792E-2</c:v>
                </c:pt>
                <c:pt idx="19">
                  <c:v>7.0910290237466977E-3</c:v>
                </c:pt>
                <c:pt idx="20">
                  <c:v>6.6401062416998613E-3</c:v>
                </c:pt>
                <c:pt idx="21">
                  <c:v>-7.3800738007380184E-2</c:v>
                </c:pt>
                <c:pt idx="22">
                  <c:v>5.2550231839258998E-3</c:v>
                </c:pt>
                <c:pt idx="23">
                  <c:v>0.11244841815680884</c:v>
                </c:pt>
                <c:pt idx="24">
                  <c:v>-9.1250000000000053E-2</c:v>
                </c:pt>
                <c:pt idx="25">
                  <c:v>-4.7051816557474591E-2</c:v>
                </c:pt>
                <c:pt idx="26">
                  <c:v>1.0433745714710785E-3</c:v>
                </c:pt>
                <c:pt idx="27">
                  <c:v>-1.3396844298898536E-3</c:v>
                </c:pt>
                <c:pt idx="28">
                  <c:v>3.4174876847290925E-2</c:v>
                </c:pt>
                <c:pt idx="29">
                  <c:v>-5.2370532458059893E-2</c:v>
                </c:pt>
                <c:pt idx="30">
                  <c:v>-2.6189436927106513E-3</c:v>
                </c:pt>
                <c:pt idx="31">
                  <c:v>0.12157310704960844</c:v>
                </c:pt>
                <c:pt idx="32">
                  <c:v>-2.6064844246662444E-2</c:v>
                </c:pt>
                <c:pt idx="33">
                  <c:v>7.8875171467764016E-2</c:v>
                </c:pt>
                <c:pt idx="34">
                  <c:v>0.1344096479284187</c:v>
                </c:pt>
                <c:pt idx="35">
                  <c:v>0.19474785033697417</c:v>
                </c:pt>
                <c:pt idx="36">
                  <c:v>-0.18193916349809891</c:v>
                </c:pt>
                <c:pt idx="37">
                  <c:v>-0.15745635111324685</c:v>
                </c:pt>
                <c:pt idx="38">
                  <c:v>-0.1067391615395622</c:v>
                </c:pt>
                <c:pt idx="39">
                  <c:v>-1.1433471487780622E-3</c:v>
                </c:pt>
                <c:pt idx="40">
                  <c:v>-5.292365998917159E-2</c:v>
                </c:pt>
                <c:pt idx="41">
                  <c:v>-4.8428645028335993E-2</c:v>
                </c:pt>
                <c:pt idx="42">
                  <c:v>3.4786085565773783E-2</c:v>
                </c:pt>
                <c:pt idx="43">
                  <c:v>-2.3174065876839012E-2</c:v>
                </c:pt>
                <c:pt idx="44">
                  <c:v>-6.8066003397233676E-2</c:v>
                </c:pt>
                <c:pt idx="45">
                  <c:v>-4.7718082033506581E-2</c:v>
                </c:pt>
                <c:pt idx="46">
                  <c:v>5.2407587548638057E-2</c:v>
                </c:pt>
                <c:pt idx="47">
                  <c:v>-0.11797511797511795</c:v>
                </c:pt>
                <c:pt idx="48">
                  <c:v>-0.1428571428571429</c:v>
                </c:pt>
                <c:pt idx="49">
                  <c:v>0.10548780487804876</c:v>
                </c:pt>
                <c:pt idx="50">
                  <c:v>7.0845576232451801E-2</c:v>
                </c:pt>
                <c:pt idx="51">
                  <c:v>-3.2637075718011666E-4</c:v>
                </c:pt>
                <c:pt idx="52">
                  <c:v>-3.6073825503355694E-2</c:v>
                </c:pt>
                <c:pt idx="53">
                  <c:v>5.3003533568904526E-2</c:v>
                </c:pt>
                <c:pt idx="54">
                  <c:v>-1.8638925010836527E-2</c:v>
                </c:pt>
                <c:pt idx="55">
                  <c:v>-3.0672268907563027E-2</c:v>
                </c:pt>
                <c:pt idx="56">
                  <c:v>-6.3360881542699699E-2</c:v>
                </c:pt>
                <c:pt idx="57">
                  <c:v>-3.594802238452055E-2</c:v>
                </c:pt>
                <c:pt idx="58">
                  <c:v>2.9288294444986818E-2</c:v>
                </c:pt>
                <c:pt idx="59">
                  <c:v>8.7251884088737963E-2</c:v>
                </c:pt>
                <c:pt idx="60">
                  <c:v>-5.9780439121756568E-2</c:v>
                </c:pt>
                <c:pt idx="61">
                  <c:v>-1.3779527559054983E-2</c:v>
                </c:pt>
                <c:pt idx="62">
                  <c:v>-5.646359583952465E-2</c:v>
                </c:pt>
                <c:pt idx="63">
                  <c:v>-7.7405086619977137E-3</c:v>
                </c:pt>
                <c:pt idx="64">
                  <c:v>-3.9305949008498597E-2</c:v>
                </c:pt>
                <c:pt idx="65">
                  <c:v>0.16839056681836984</c:v>
                </c:pt>
                <c:pt idx="66">
                  <c:v>-8.4122773777946191E-2</c:v>
                </c:pt>
                <c:pt idx="67">
                  <c:v>-3.7212696096315168E-2</c:v>
                </c:pt>
                <c:pt idx="68">
                  <c:v>-2.4902170046246841E-2</c:v>
                </c:pt>
                <c:pt idx="69">
                  <c:v>-1.2644889357218081E-2</c:v>
                </c:pt>
                <c:pt idx="70">
                  <c:v>-1.8275862068965587E-2</c:v>
                </c:pt>
                <c:pt idx="71">
                  <c:v>1.3812154696133394E-3</c:v>
                </c:pt>
                <c:pt idx="72">
                  <c:v>-2.9490616621983934E-2</c:v>
                </c:pt>
                <c:pt idx="73">
                  <c:v>-3.8659793814432963E-2</c:v>
                </c:pt>
                <c:pt idx="74">
                  <c:v>-3.2113037893385377E-3</c:v>
                </c:pt>
                <c:pt idx="75">
                  <c:v>-4.9160305343511457E-2</c:v>
                </c:pt>
                <c:pt idx="76">
                  <c:v>-1.1171497584540946E-2</c:v>
                </c:pt>
                <c:pt idx="77">
                  <c:v>0.15400696864111496</c:v>
                </c:pt>
                <c:pt idx="78">
                  <c:v>-0.10424469413233461</c:v>
                </c:pt>
                <c:pt idx="79">
                  <c:v>5.0491803278688518E-2</c:v>
                </c:pt>
                <c:pt idx="80">
                  <c:v>0</c:v>
                </c:pt>
                <c:pt idx="81">
                  <c:v>-8.8736181655213575E-2</c:v>
                </c:pt>
                <c:pt idx="82">
                  <c:v>1.7944038929440298E-2</c:v>
                </c:pt>
                <c:pt idx="83">
                  <c:v>-5.1629650995096643E-2</c:v>
                </c:pt>
                <c:pt idx="84">
                  <c:v>-0.12205621676373768</c:v>
                </c:pt>
                <c:pt idx="85">
                  <c:v>-5.0620096178177754E-4</c:v>
                </c:pt>
                <c:pt idx="86">
                  <c:v>4.440919904837437E-2</c:v>
                </c:pt>
                <c:pt idx="87">
                  <c:v>-3.6178343949044622E-2</c:v>
                </c:pt>
                <c:pt idx="88">
                  <c:v>-9.143518518518523E-2</c:v>
                </c:pt>
                <c:pt idx="89">
                  <c:v>0.11196911196911197</c:v>
                </c:pt>
                <c:pt idx="90">
                  <c:v>-4.5219955763086683E-2</c:v>
                </c:pt>
                <c:pt idx="91">
                  <c:v>-7.1640428929956701E-2</c:v>
                </c:pt>
                <c:pt idx="92">
                  <c:v>7.4264705882352899E-2</c:v>
                </c:pt>
                <c:pt idx="93">
                  <c:v>1.4925373134328179E-2</c:v>
                </c:pt>
                <c:pt idx="94">
                  <c:v>0.13143822122150306</c:v>
                </c:pt>
                <c:pt idx="95">
                  <c:v>2.2446043165467611E-2</c:v>
                </c:pt>
                <c:pt idx="96">
                  <c:v>-1.3904653802497169E-2</c:v>
                </c:pt>
                <c:pt idx="97">
                  <c:v>-2.4903154399557259E-2</c:v>
                </c:pt>
                <c:pt idx="98">
                  <c:v>-2.8494623655914042E-2</c:v>
                </c:pt>
                <c:pt idx="99">
                  <c:v>-2.2852639873916392E-2</c:v>
                </c:pt>
                <c:pt idx="100">
                  <c:v>-6.2546170893868491E-2</c:v>
                </c:pt>
                <c:pt idx="101">
                  <c:v>-1.3362487852283667E-2</c:v>
                </c:pt>
                <c:pt idx="102">
                  <c:v>5.7010785824345156E-2</c:v>
                </c:pt>
                <c:pt idx="103">
                  <c:v>-1.1424219345011477E-2</c:v>
                </c:pt>
                <c:pt idx="104">
                  <c:v>7.1592942981335561E-3</c:v>
                </c:pt>
                <c:pt idx="105">
                  <c:v>-3.9066339066339162E-2</c:v>
                </c:pt>
                <c:pt idx="106">
                  <c:v>6.7121132669113903E-2</c:v>
                </c:pt>
                <c:pt idx="107">
                  <c:v>-9.6636665087636131E-2</c:v>
                </c:pt>
                <c:pt idx="108">
                  <c:v>-2.4040684234858944E-2</c:v>
                </c:pt>
                <c:pt idx="109">
                  <c:v>4.9999999999999822E-2</c:v>
                </c:pt>
                <c:pt idx="110">
                  <c:v>-1.1516314779270509E-2</c:v>
                </c:pt>
                <c:pt idx="111">
                  <c:v>2.5086079685194385E-2</c:v>
                </c:pt>
                <c:pt idx="112">
                  <c:v>-5.9449456396021283E-2</c:v>
                </c:pt>
                <c:pt idx="113">
                  <c:v>3.4818941504177747E-3</c:v>
                </c:pt>
                <c:pt idx="114">
                  <c:v>6.3069376313944492E-3</c:v>
                </c:pt>
                <c:pt idx="115">
                  <c:v>-8.6622573074461195E-2</c:v>
                </c:pt>
                <c:pt idx="116">
                  <c:v>2.1578029642545626E-2</c:v>
                </c:pt>
                <c:pt idx="117">
                  <c:v>-1.523394994559335E-3</c:v>
                </c:pt>
                <c:pt idx="118">
                  <c:v>-9.2972759573627939E-2</c:v>
                </c:pt>
                <c:pt idx="119">
                  <c:v>-1.6310679611650558E-2</c:v>
                </c:pt>
                <c:pt idx="120">
                  <c:v>8.4198159389072824E-3</c:v>
                </c:pt>
                <c:pt idx="121">
                  <c:v>-2.6310772163965712E-2</c:v>
                </c:pt>
                <c:pt idx="122">
                  <c:v>-3.6022789928321863E-2</c:v>
                </c:pt>
                <c:pt idx="123">
                  <c:v>-4.9108703250611674E-2</c:v>
                </c:pt>
                <c:pt idx="124">
                  <c:v>2.379674360350692E-2</c:v>
                </c:pt>
                <c:pt idx="125">
                  <c:v>4.4868199663488539E-2</c:v>
                </c:pt>
                <c:pt idx="126">
                  <c:v>4.6566229700645723E-2</c:v>
                </c:pt>
                <c:pt idx="127">
                  <c:v>3.928501276762919E-3</c:v>
                </c:pt>
                <c:pt idx="128">
                  <c:v>7.5184794086589068E-2</c:v>
                </c:pt>
                <c:pt idx="129">
                  <c:v>7.2325037226121935E-3</c:v>
                </c:pt>
                <c:pt idx="130">
                  <c:v>1.6872160934458202E-2</c:v>
                </c:pt>
                <c:pt idx="131">
                  <c:v>-2.509489666807263E-2</c:v>
                </c:pt>
                <c:pt idx="132">
                  <c:v>1.7814981755741588E-2</c:v>
                </c:pt>
                <c:pt idx="133">
                  <c:v>1.1067708333333481E-2</c:v>
                </c:pt>
                <c:pt idx="134">
                  <c:v>7.0880780850569369E-2</c:v>
                </c:pt>
                <c:pt idx="135">
                  <c:v>-5.6359649122806998E-2</c:v>
                </c:pt>
                <c:pt idx="136">
                  <c:v>1.3108198178182651E-2</c:v>
                </c:pt>
                <c:pt idx="137">
                  <c:v>3.8532533456391294E-2</c:v>
                </c:pt>
                <c:pt idx="138">
                  <c:v>-1.4327950875596906E-2</c:v>
                </c:pt>
                <c:pt idx="139">
                  <c:v>-7.8971119133574019E-3</c:v>
                </c:pt>
                <c:pt idx="140">
                  <c:v>2.0023014959723806E-2</c:v>
                </c:pt>
                <c:pt idx="141">
                  <c:v>-1.3789933348654637E-3</c:v>
                </c:pt>
                <c:pt idx="142">
                  <c:v>-4.1629955947136588E-2</c:v>
                </c:pt>
                <c:pt idx="143">
                  <c:v>2.9245069145318547E-2</c:v>
                </c:pt>
                <c:pt idx="144">
                  <c:v>0.10884866767219714</c:v>
                </c:pt>
                <c:pt idx="145">
                  <c:v>-8.6147484493452775E-2</c:v>
                </c:pt>
                <c:pt idx="146">
                  <c:v>0.14372044140830265</c:v>
                </c:pt>
                <c:pt idx="147">
                  <c:v>-1.6283277332644008E-2</c:v>
                </c:pt>
                <c:pt idx="148">
                  <c:v>-2.4457892082702992E-2</c:v>
                </c:pt>
                <c:pt idx="149">
                  <c:v>-5.7658561042869261E-3</c:v>
                </c:pt>
                <c:pt idx="150">
                  <c:v>-5.0112753695807921E-4</c:v>
                </c:pt>
                <c:pt idx="151">
                  <c:v>4.8883048620236513E-2</c:v>
                </c:pt>
                <c:pt idx="152">
                  <c:v>-2.4358974358974383E-2</c:v>
                </c:pt>
                <c:pt idx="153">
                  <c:v>-3.8314176245209941E-3</c:v>
                </c:pt>
                <c:pt idx="154">
                  <c:v>3.5440359693202694E-2</c:v>
                </c:pt>
                <c:pt idx="155">
                  <c:v>-1.098613654198255E-2</c:v>
                </c:pt>
                <c:pt idx="156">
                  <c:v>-5.7910300640709789E-2</c:v>
                </c:pt>
                <c:pt idx="157">
                  <c:v>-3.8844149692089047E-2</c:v>
                </c:pt>
                <c:pt idx="158">
                  <c:v>6.7509481668773796E-2</c:v>
                </c:pt>
                <c:pt idx="159">
                  <c:v>-1.1991006744941357E-2</c:v>
                </c:pt>
                <c:pt idx="160">
                  <c:v>9.6712328767123212E-2</c:v>
                </c:pt>
                <c:pt idx="161">
                  <c:v>4.0775591673795297E-2</c:v>
                </c:pt>
                <c:pt idx="162">
                  <c:v>-2.556265629341492E-2</c:v>
                </c:pt>
                <c:pt idx="163">
                  <c:v>6.9949636261892323E-3</c:v>
                </c:pt>
                <c:pt idx="164">
                  <c:v>5.739644970414215E-2</c:v>
                </c:pt>
                <c:pt idx="165">
                  <c:v>-1.8297995933778788E-2</c:v>
                </c:pt>
                <c:pt idx="166">
                  <c:v>1.8337769890564903E-2</c:v>
                </c:pt>
                <c:pt idx="167">
                  <c:v>0.13876726170427767</c:v>
                </c:pt>
                <c:pt idx="168">
                  <c:v>-0.13892111368909499</c:v>
                </c:pt>
                <c:pt idx="169">
                  <c:v>-3.1188536105647868E-2</c:v>
                </c:pt>
                <c:pt idx="170">
                  <c:v>2.6535910008653074E-2</c:v>
                </c:pt>
                <c:pt idx="171">
                  <c:v>-9.877826878086815E-2</c:v>
                </c:pt>
                <c:pt idx="172">
                  <c:v>-4.04090795709654E-2</c:v>
                </c:pt>
                <c:pt idx="173">
                  <c:v>-8.1642751113309986E-3</c:v>
                </c:pt>
                <c:pt idx="174">
                  <c:v>-2.2963500120860458E-2</c:v>
                </c:pt>
                <c:pt idx="175">
                  <c:v>9.2705537936081939E-3</c:v>
                </c:pt>
                <c:pt idx="176">
                  <c:v>-4.1393826005612588E-2</c:v>
                </c:pt>
                <c:pt idx="177">
                  <c:v>-1.110083256244232E-2</c:v>
                </c:pt>
                <c:pt idx="178">
                  <c:v>0.12253374870197287</c:v>
                </c:pt>
                <c:pt idx="179">
                  <c:v>-1.9847328244274709E-2</c:v>
                </c:pt>
                <c:pt idx="180">
                  <c:v>-8.3916083916083961E-2</c:v>
                </c:pt>
                <c:pt idx="181">
                  <c:v>5.8214109521460333E-2</c:v>
                </c:pt>
                <c:pt idx="182">
                  <c:v>-7.5484606613455019E-2</c:v>
                </c:pt>
                <c:pt idx="183">
                  <c:v>-9.1136933242197404E-4</c:v>
                </c:pt>
                <c:pt idx="184">
                  <c:v>-4.3374019180470791E-2</c:v>
                </c:pt>
                <c:pt idx="185">
                  <c:v>-9.720582447855175E-2</c:v>
                </c:pt>
                <c:pt idx="186">
                  <c:v>-0.12439696760854579</c:v>
                </c:pt>
                <c:pt idx="187">
                  <c:v>-4.7587791270101709E-2</c:v>
                </c:pt>
                <c:pt idx="188">
                  <c:v>8.3955887584489464E-2</c:v>
                </c:pt>
                <c:pt idx="189">
                  <c:v>-0.10719390185802768</c:v>
                </c:pt>
                <c:pt idx="190">
                  <c:v>-2.5081281932187727E-2</c:v>
                </c:pt>
                <c:pt idx="191">
                  <c:v>2.4100206120184042E-2</c:v>
                </c:pt>
                <c:pt idx="192">
                  <c:v>5.011655011655014E-2</c:v>
                </c:pt>
                <c:pt idx="193">
                  <c:v>-4.5151033386327422E-2</c:v>
                </c:pt>
                <c:pt idx="194">
                  <c:v>-2.8121137206427727E-2</c:v>
                </c:pt>
                <c:pt idx="195">
                  <c:v>-9.94339911274289E-3</c:v>
                </c:pt>
                <c:pt idx="196">
                  <c:v>-9.2587451415880095E-2</c:v>
                </c:pt>
                <c:pt idx="197">
                  <c:v>8.7888855330715998E-2</c:v>
                </c:pt>
                <c:pt idx="198">
                  <c:v>-6.6929688600817272E-2</c:v>
                </c:pt>
                <c:pt idx="199">
                  <c:v>-7.4827271542171725E-2</c:v>
                </c:pt>
                <c:pt idx="200">
                  <c:v>-6.3827190627288255E-2</c:v>
                </c:pt>
                <c:pt idx="201">
                  <c:v>-5.0995628946089999E-3</c:v>
                </c:pt>
                <c:pt idx="202">
                  <c:v>-0.12401616677302696</c:v>
                </c:pt>
                <c:pt idx="203">
                  <c:v>8.255613126079453E-2</c:v>
                </c:pt>
                <c:pt idx="204">
                  <c:v>-4.2236435818262197E-2</c:v>
                </c:pt>
                <c:pt idx="205">
                  <c:v>-5.8359293873312512E-2</c:v>
                </c:pt>
                <c:pt idx="206">
                  <c:v>1.8401015228426409E-2</c:v>
                </c:pt>
                <c:pt idx="207">
                  <c:v>3.1751227495908418E-2</c:v>
                </c:pt>
                <c:pt idx="208">
                  <c:v>5.5753945397995608E-2</c:v>
                </c:pt>
                <c:pt idx="209">
                  <c:v>3.4930853600381617E-2</c:v>
                </c:pt>
                <c:pt idx="210">
                  <c:v>-1.6662699357296029E-3</c:v>
                </c:pt>
                <c:pt idx="211">
                  <c:v>0.14499863723085316</c:v>
                </c:pt>
                <c:pt idx="212">
                  <c:v>-0.16271109082610691</c:v>
                </c:pt>
                <c:pt idx="213">
                  <c:v>1.966259453170438E-2</c:v>
                </c:pt>
                <c:pt idx="214">
                  <c:v>9.4625573102394389E-2</c:v>
                </c:pt>
                <c:pt idx="215">
                  <c:v>0.10126227208976157</c:v>
                </c:pt>
                <c:pt idx="216">
                  <c:v>-9.1372499044220734E-2</c:v>
                </c:pt>
                <c:pt idx="217">
                  <c:v>9.3201448871552017E-2</c:v>
                </c:pt>
                <c:pt idx="218">
                  <c:v>0.1234935044607921</c:v>
                </c:pt>
                <c:pt idx="219">
                  <c:v>-1.1143785791673078E-2</c:v>
                </c:pt>
                <c:pt idx="220">
                  <c:v>-8.5929108485499617E-3</c:v>
                </c:pt>
                <c:pt idx="221">
                  <c:v>-7.5209308925784035E-2</c:v>
                </c:pt>
                <c:pt idx="222">
                  <c:v>3.9994096812278501E-2</c:v>
                </c:pt>
                <c:pt idx="223">
                  <c:v>9.009009009009028E-2</c:v>
                </c:pt>
                <c:pt idx="224">
                  <c:v>3.9986615358875488E-2</c:v>
                </c:pt>
                <c:pt idx="225">
                  <c:v>8.2005792903693031E-2</c:v>
                </c:pt>
                <c:pt idx="226">
                  <c:v>1.525454879617727E-2</c:v>
                </c:pt>
                <c:pt idx="227">
                  <c:v>-1.3060039905677612E-2</c:v>
                </c:pt>
                <c:pt idx="228">
                  <c:v>-9.166067577282444E-3</c:v>
                </c:pt>
                <c:pt idx="229">
                  <c:v>-6.6912627871876573E-2</c:v>
                </c:pt>
                <c:pt idx="230">
                  <c:v>9.9981553218963404E-2</c:v>
                </c:pt>
                <c:pt idx="231">
                  <c:v>3.5530085959885271E-2</c:v>
                </c:pt>
                <c:pt idx="232">
                  <c:v>-4.3660942637924749E-2</c:v>
                </c:pt>
                <c:pt idx="233">
                  <c:v>-5.70198105081825E-2</c:v>
                </c:pt>
                <c:pt idx="234">
                  <c:v>-0.10747232472324741</c:v>
                </c:pt>
                <c:pt idx="235">
                  <c:v>1.3084112149532867E-2</c:v>
                </c:pt>
                <c:pt idx="236">
                  <c:v>0.1040412725709372</c:v>
                </c:pt>
                <c:pt idx="237">
                  <c:v>-1.6407307171853791E-2</c:v>
                </c:pt>
                <c:pt idx="238">
                  <c:v>-2.602965403624391E-2</c:v>
                </c:pt>
                <c:pt idx="239">
                  <c:v>-2.8489116517285473E-2</c:v>
                </c:pt>
                <c:pt idx="240">
                  <c:v>3.9600665557404158E-2</c:v>
                </c:pt>
                <c:pt idx="241">
                  <c:v>1.0423671822461511E-2</c:v>
                </c:pt>
                <c:pt idx="242">
                  <c:v>-3.5181772491205132E-3</c:v>
                </c:pt>
                <c:pt idx="243">
                  <c:v>4.4444444444444509E-2</c:v>
                </c:pt>
                <c:pt idx="244">
                  <c:v>1.9284712482467992E-3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80-471E-A886-E4DE6B804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515152"/>
        <c:axId val="1929155408"/>
      </c:lineChart>
      <c:dateAx>
        <c:axId val="224515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9155408"/>
        <c:crosses val="autoZero"/>
        <c:auto val="0"/>
        <c:lblOffset val="100"/>
        <c:baseTimeUnit val="months"/>
        <c:majorUnit val="2"/>
        <c:majorTimeUnit val="years"/>
      </c:dateAx>
      <c:valAx>
        <c:axId val="192915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Variación mensual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451515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CEMEX — Tasa de crecimiento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CEMEX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Crecimiento!$A$2:$A$304</c:f>
              <c:numCache>
                <c:formatCode>m/d/yyyy</c:formatCode>
                <c:ptCount val="303"/>
                <c:pt idx="0">
                  <c:v>38776.041250000002</c:v>
                </c:pt>
                <c:pt idx="1">
                  <c:v>38807.041250000002</c:v>
                </c:pt>
                <c:pt idx="2">
                  <c:v>38835.041250000002</c:v>
                </c:pt>
                <c:pt idx="3">
                  <c:v>38868.041250000002</c:v>
                </c:pt>
                <c:pt idx="4">
                  <c:v>38898.041250000002</c:v>
                </c:pt>
                <c:pt idx="5">
                  <c:v>38929.041250000002</c:v>
                </c:pt>
                <c:pt idx="6">
                  <c:v>38960.041250000002</c:v>
                </c:pt>
                <c:pt idx="7">
                  <c:v>38989.041250000002</c:v>
                </c:pt>
                <c:pt idx="8">
                  <c:v>39021.041250000002</c:v>
                </c:pt>
                <c:pt idx="9">
                  <c:v>39051.041250000002</c:v>
                </c:pt>
                <c:pt idx="10">
                  <c:v>39080.041250000002</c:v>
                </c:pt>
                <c:pt idx="11">
                  <c:v>39113.041250000002</c:v>
                </c:pt>
                <c:pt idx="12">
                  <c:v>39141.041250000002</c:v>
                </c:pt>
                <c:pt idx="13">
                  <c:v>39171.041250000002</c:v>
                </c:pt>
                <c:pt idx="14">
                  <c:v>39202.041250000002</c:v>
                </c:pt>
                <c:pt idx="15">
                  <c:v>39233.041250000002</c:v>
                </c:pt>
                <c:pt idx="16">
                  <c:v>39262.041250000002</c:v>
                </c:pt>
                <c:pt idx="17">
                  <c:v>39294.041250000002</c:v>
                </c:pt>
                <c:pt idx="18">
                  <c:v>39325.041250000002</c:v>
                </c:pt>
                <c:pt idx="19">
                  <c:v>39353.041250000002</c:v>
                </c:pt>
                <c:pt idx="20">
                  <c:v>39386.041250000002</c:v>
                </c:pt>
                <c:pt idx="21">
                  <c:v>39416.041250000002</c:v>
                </c:pt>
                <c:pt idx="22">
                  <c:v>39447.041250000002</c:v>
                </c:pt>
                <c:pt idx="23">
                  <c:v>39478.041250000002</c:v>
                </c:pt>
                <c:pt idx="24">
                  <c:v>39507.041250000002</c:v>
                </c:pt>
                <c:pt idx="25">
                  <c:v>39538.041250000002</c:v>
                </c:pt>
                <c:pt idx="26">
                  <c:v>39568.041250000002</c:v>
                </c:pt>
                <c:pt idx="27">
                  <c:v>39598.041250000002</c:v>
                </c:pt>
                <c:pt idx="28">
                  <c:v>39629.041250000002</c:v>
                </c:pt>
                <c:pt idx="29">
                  <c:v>39660.041250000002</c:v>
                </c:pt>
                <c:pt idx="30">
                  <c:v>39689.041250000002</c:v>
                </c:pt>
                <c:pt idx="31">
                  <c:v>39721.041250000002</c:v>
                </c:pt>
                <c:pt idx="32">
                  <c:v>39752.041250000002</c:v>
                </c:pt>
                <c:pt idx="33">
                  <c:v>39780.041250000002</c:v>
                </c:pt>
                <c:pt idx="34">
                  <c:v>39813.041250000002</c:v>
                </c:pt>
                <c:pt idx="35">
                  <c:v>39843.041250000002</c:v>
                </c:pt>
                <c:pt idx="36">
                  <c:v>39871.041250000002</c:v>
                </c:pt>
                <c:pt idx="37">
                  <c:v>39903.041250000002</c:v>
                </c:pt>
                <c:pt idx="38">
                  <c:v>39933.041250000002</c:v>
                </c:pt>
                <c:pt idx="39">
                  <c:v>39962.041250000002</c:v>
                </c:pt>
                <c:pt idx="40">
                  <c:v>39994.041250000002</c:v>
                </c:pt>
                <c:pt idx="41">
                  <c:v>40025.041250000002</c:v>
                </c:pt>
                <c:pt idx="42">
                  <c:v>40056.041250000002</c:v>
                </c:pt>
                <c:pt idx="43">
                  <c:v>40086.041250000002</c:v>
                </c:pt>
                <c:pt idx="44">
                  <c:v>40116.041250000002</c:v>
                </c:pt>
                <c:pt idx="45">
                  <c:v>40147.041250000002</c:v>
                </c:pt>
                <c:pt idx="46">
                  <c:v>40178.041250000002</c:v>
                </c:pt>
                <c:pt idx="47">
                  <c:v>40207.041250000002</c:v>
                </c:pt>
                <c:pt idx="48">
                  <c:v>40235.041250000002</c:v>
                </c:pt>
                <c:pt idx="49">
                  <c:v>40268.041250000002</c:v>
                </c:pt>
                <c:pt idx="50">
                  <c:v>40298.041250000002</c:v>
                </c:pt>
                <c:pt idx="51">
                  <c:v>40329.041250000002</c:v>
                </c:pt>
                <c:pt idx="52">
                  <c:v>40359.041250000002</c:v>
                </c:pt>
                <c:pt idx="53">
                  <c:v>40389.041250000002</c:v>
                </c:pt>
                <c:pt idx="54">
                  <c:v>40421.041250000002</c:v>
                </c:pt>
                <c:pt idx="55">
                  <c:v>40451.041250000002</c:v>
                </c:pt>
                <c:pt idx="56">
                  <c:v>40480.041250000002</c:v>
                </c:pt>
                <c:pt idx="57">
                  <c:v>40512.041250000002</c:v>
                </c:pt>
                <c:pt idx="58">
                  <c:v>40543.041250000002</c:v>
                </c:pt>
                <c:pt idx="59">
                  <c:v>40574.041250000002</c:v>
                </c:pt>
                <c:pt idx="60">
                  <c:v>40602.041250000002</c:v>
                </c:pt>
                <c:pt idx="61">
                  <c:v>40633.041250000002</c:v>
                </c:pt>
                <c:pt idx="62">
                  <c:v>40662.041250000002</c:v>
                </c:pt>
                <c:pt idx="63">
                  <c:v>40694.041250000002</c:v>
                </c:pt>
                <c:pt idx="64">
                  <c:v>40724.041250000002</c:v>
                </c:pt>
                <c:pt idx="65">
                  <c:v>40753.041250000002</c:v>
                </c:pt>
                <c:pt idx="66">
                  <c:v>40786.041250000002</c:v>
                </c:pt>
                <c:pt idx="67">
                  <c:v>40816.041250000002</c:v>
                </c:pt>
                <c:pt idx="68">
                  <c:v>40847.041250000002</c:v>
                </c:pt>
                <c:pt idx="69">
                  <c:v>40877.041250000002</c:v>
                </c:pt>
                <c:pt idx="70">
                  <c:v>40907.041250000002</c:v>
                </c:pt>
                <c:pt idx="71">
                  <c:v>40939.041250000002</c:v>
                </c:pt>
                <c:pt idx="72">
                  <c:v>40968.041250000002</c:v>
                </c:pt>
                <c:pt idx="73">
                  <c:v>40998.041250000002</c:v>
                </c:pt>
                <c:pt idx="74">
                  <c:v>41029.041250000002</c:v>
                </c:pt>
                <c:pt idx="75">
                  <c:v>41060.041250000002</c:v>
                </c:pt>
                <c:pt idx="76">
                  <c:v>41089.041250000002</c:v>
                </c:pt>
                <c:pt idx="77">
                  <c:v>41121.041250000002</c:v>
                </c:pt>
                <c:pt idx="78">
                  <c:v>41152.041250000002</c:v>
                </c:pt>
                <c:pt idx="79">
                  <c:v>41180.041250000002</c:v>
                </c:pt>
                <c:pt idx="80">
                  <c:v>41213.041250000002</c:v>
                </c:pt>
                <c:pt idx="81">
                  <c:v>41243.041250000002</c:v>
                </c:pt>
                <c:pt idx="82">
                  <c:v>41274.041250000002</c:v>
                </c:pt>
                <c:pt idx="83">
                  <c:v>41305.041250000002</c:v>
                </c:pt>
                <c:pt idx="84">
                  <c:v>41333.041250000002</c:v>
                </c:pt>
                <c:pt idx="85">
                  <c:v>41360.041250000002</c:v>
                </c:pt>
                <c:pt idx="86">
                  <c:v>41394.041250000002</c:v>
                </c:pt>
                <c:pt idx="87">
                  <c:v>41425.041250000002</c:v>
                </c:pt>
                <c:pt idx="88">
                  <c:v>41453.041250000002</c:v>
                </c:pt>
                <c:pt idx="89">
                  <c:v>41486.041250000002</c:v>
                </c:pt>
                <c:pt idx="90">
                  <c:v>41516.041250000002</c:v>
                </c:pt>
                <c:pt idx="91">
                  <c:v>41547.041250000002</c:v>
                </c:pt>
                <c:pt idx="92">
                  <c:v>41578.041250000002</c:v>
                </c:pt>
                <c:pt idx="93">
                  <c:v>41607.041250000002</c:v>
                </c:pt>
                <c:pt idx="94">
                  <c:v>41639.041250000002</c:v>
                </c:pt>
                <c:pt idx="95">
                  <c:v>41670.041250000002</c:v>
                </c:pt>
                <c:pt idx="96">
                  <c:v>41698.041250000002</c:v>
                </c:pt>
                <c:pt idx="97">
                  <c:v>41729.041250000002</c:v>
                </c:pt>
                <c:pt idx="98">
                  <c:v>41759.041250000002</c:v>
                </c:pt>
                <c:pt idx="99">
                  <c:v>41789.041250000002</c:v>
                </c:pt>
                <c:pt idx="100">
                  <c:v>41820.041250000002</c:v>
                </c:pt>
                <c:pt idx="101">
                  <c:v>41851.041250000002</c:v>
                </c:pt>
                <c:pt idx="102">
                  <c:v>41880.041250000002</c:v>
                </c:pt>
                <c:pt idx="103">
                  <c:v>41912.041250000002</c:v>
                </c:pt>
                <c:pt idx="104">
                  <c:v>41943.041250000002</c:v>
                </c:pt>
                <c:pt idx="105">
                  <c:v>41971.041250000002</c:v>
                </c:pt>
                <c:pt idx="106">
                  <c:v>42004.041250000002</c:v>
                </c:pt>
                <c:pt idx="107">
                  <c:v>42034.041250000002</c:v>
                </c:pt>
                <c:pt idx="108">
                  <c:v>42062.041250000002</c:v>
                </c:pt>
                <c:pt idx="109">
                  <c:v>42094.041250000002</c:v>
                </c:pt>
                <c:pt idx="110">
                  <c:v>42124.041250000002</c:v>
                </c:pt>
                <c:pt idx="111">
                  <c:v>42153.041250000002</c:v>
                </c:pt>
                <c:pt idx="112">
                  <c:v>42185.041250000002</c:v>
                </c:pt>
                <c:pt idx="113">
                  <c:v>42216.041250000002</c:v>
                </c:pt>
                <c:pt idx="114">
                  <c:v>42247.041250000002</c:v>
                </c:pt>
                <c:pt idx="115">
                  <c:v>42277.041250000002</c:v>
                </c:pt>
                <c:pt idx="116">
                  <c:v>42307.041250000002</c:v>
                </c:pt>
                <c:pt idx="117">
                  <c:v>42338.041250000002</c:v>
                </c:pt>
                <c:pt idx="118">
                  <c:v>42369.041250000002</c:v>
                </c:pt>
                <c:pt idx="119">
                  <c:v>42398.041250000002</c:v>
                </c:pt>
                <c:pt idx="120">
                  <c:v>42429.041250000002</c:v>
                </c:pt>
                <c:pt idx="121">
                  <c:v>42460.041250000002</c:v>
                </c:pt>
                <c:pt idx="122">
                  <c:v>42489.041250000002</c:v>
                </c:pt>
                <c:pt idx="123">
                  <c:v>42521.041250000002</c:v>
                </c:pt>
                <c:pt idx="124">
                  <c:v>42551.041250000002</c:v>
                </c:pt>
                <c:pt idx="125">
                  <c:v>42580.041250000002</c:v>
                </c:pt>
                <c:pt idx="126">
                  <c:v>42613.041250000002</c:v>
                </c:pt>
                <c:pt idx="127">
                  <c:v>42643.041250000002</c:v>
                </c:pt>
                <c:pt idx="128">
                  <c:v>42674.041250000002</c:v>
                </c:pt>
                <c:pt idx="129">
                  <c:v>42704.041250000002</c:v>
                </c:pt>
                <c:pt idx="130">
                  <c:v>42734.041250000002</c:v>
                </c:pt>
                <c:pt idx="131">
                  <c:v>42766.041250000002</c:v>
                </c:pt>
                <c:pt idx="132">
                  <c:v>42794.041250000002</c:v>
                </c:pt>
                <c:pt idx="133">
                  <c:v>42825.041250000002</c:v>
                </c:pt>
                <c:pt idx="134">
                  <c:v>42853.041250000002</c:v>
                </c:pt>
                <c:pt idx="135">
                  <c:v>42886.041250000002</c:v>
                </c:pt>
                <c:pt idx="136">
                  <c:v>42916.041250000002</c:v>
                </c:pt>
                <c:pt idx="137">
                  <c:v>42947.041250000002</c:v>
                </c:pt>
                <c:pt idx="138">
                  <c:v>42978.041250000002</c:v>
                </c:pt>
                <c:pt idx="139">
                  <c:v>43007.041250000002</c:v>
                </c:pt>
                <c:pt idx="140">
                  <c:v>43039.041250000002</c:v>
                </c:pt>
                <c:pt idx="141">
                  <c:v>43069.041250000002</c:v>
                </c:pt>
                <c:pt idx="142">
                  <c:v>43098.041250000002</c:v>
                </c:pt>
                <c:pt idx="143">
                  <c:v>43131.041250000002</c:v>
                </c:pt>
                <c:pt idx="144">
                  <c:v>43159.041250000002</c:v>
                </c:pt>
                <c:pt idx="145">
                  <c:v>43187.041250000002</c:v>
                </c:pt>
                <c:pt idx="146">
                  <c:v>43220.041250000002</c:v>
                </c:pt>
                <c:pt idx="147">
                  <c:v>43251.041250000002</c:v>
                </c:pt>
                <c:pt idx="148">
                  <c:v>43280.041250000002</c:v>
                </c:pt>
                <c:pt idx="149">
                  <c:v>43312.041250000002</c:v>
                </c:pt>
                <c:pt idx="150">
                  <c:v>43343.041250000002</c:v>
                </c:pt>
                <c:pt idx="151">
                  <c:v>43371.041250000002</c:v>
                </c:pt>
                <c:pt idx="152">
                  <c:v>43404.041250000002</c:v>
                </c:pt>
                <c:pt idx="153">
                  <c:v>43434.041250000002</c:v>
                </c:pt>
                <c:pt idx="154">
                  <c:v>43465.041250000002</c:v>
                </c:pt>
                <c:pt idx="155">
                  <c:v>43496.041250000002</c:v>
                </c:pt>
                <c:pt idx="156">
                  <c:v>43524.041250000002</c:v>
                </c:pt>
                <c:pt idx="157">
                  <c:v>43553.041250000002</c:v>
                </c:pt>
                <c:pt idx="158">
                  <c:v>43585.041250000002</c:v>
                </c:pt>
                <c:pt idx="159">
                  <c:v>43616.041250000002</c:v>
                </c:pt>
                <c:pt idx="160">
                  <c:v>43644.041250000002</c:v>
                </c:pt>
                <c:pt idx="161">
                  <c:v>43677.041250000002</c:v>
                </c:pt>
                <c:pt idx="162">
                  <c:v>43707.041250000002</c:v>
                </c:pt>
                <c:pt idx="163">
                  <c:v>43738.041250000002</c:v>
                </c:pt>
                <c:pt idx="164">
                  <c:v>43769.041250000002</c:v>
                </c:pt>
                <c:pt idx="165">
                  <c:v>43798.041250000002</c:v>
                </c:pt>
                <c:pt idx="166">
                  <c:v>43830.041250000002</c:v>
                </c:pt>
                <c:pt idx="167">
                  <c:v>43861.041250000002</c:v>
                </c:pt>
                <c:pt idx="168">
                  <c:v>43889.041250000002</c:v>
                </c:pt>
                <c:pt idx="169">
                  <c:v>43921.041250000002</c:v>
                </c:pt>
                <c:pt idx="170">
                  <c:v>43951.041250000002</c:v>
                </c:pt>
                <c:pt idx="171">
                  <c:v>43980.041250000002</c:v>
                </c:pt>
                <c:pt idx="172">
                  <c:v>44012.041250000002</c:v>
                </c:pt>
                <c:pt idx="173">
                  <c:v>44043.041250000002</c:v>
                </c:pt>
                <c:pt idx="174">
                  <c:v>44074.041250000002</c:v>
                </c:pt>
                <c:pt idx="175">
                  <c:v>44104.041250000002</c:v>
                </c:pt>
                <c:pt idx="176">
                  <c:v>44134.041250000002</c:v>
                </c:pt>
                <c:pt idx="177">
                  <c:v>44165.041250000002</c:v>
                </c:pt>
                <c:pt idx="178">
                  <c:v>44196.041250000002</c:v>
                </c:pt>
                <c:pt idx="179">
                  <c:v>44225.041250000002</c:v>
                </c:pt>
                <c:pt idx="180">
                  <c:v>44253.041250000002</c:v>
                </c:pt>
                <c:pt idx="181">
                  <c:v>44286.041250000002</c:v>
                </c:pt>
                <c:pt idx="182">
                  <c:v>44316.041250000002</c:v>
                </c:pt>
                <c:pt idx="183">
                  <c:v>44347.041250000002</c:v>
                </c:pt>
                <c:pt idx="184">
                  <c:v>44377.041250000002</c:v>
                </c:pt>
                <c:pt idx="185">
                  <c:v>44407.041250000002</c:v>
                </c:pt>
                <c:pt idx="186">
                  <c:v>44439.041250000002</c:v>
                </c:pt>
                <c:pt idx="187">
                  <c:v>44469.041250000002</c:v>
                </c:pt>
                <c:pt idx="188">
                  <c:v>44498.041250000002</c:v>
                </c:pt>
                <c:pt idx="189">
                  <c:v>44530.041250000002</c:v>
                </c:pt>
                <c:pt idx="190">
                  <c:v>44561.041250000002</c:v>
                </c:pt>
                <c:pt idx="191">
                  <c:v>44592.041250000002</c:v>
                </c:pt>
                <c:pt idx="192">
                  <c:v>44620.041250000002</c:v>
                </c:pt>
                <c:pt idx="193">
                  <c:v>44651.041250000002</c:v>
                </c:pt>
                <c:pt idx="194">
                  <c:v>44680.041250000002</c:v>
                </c:pt>
                <c:pt idx="195">
                  <c:v>44712.041250000002</c:v>
                </c:pt>
                <c:pt idx="196">
                  <c:v>44742.041250000002</c:v>
                </c:pt>
                <c:pt idx="197">
                  <c:v>44771.041250000002</c:v>
                </c:pt>
                <c:pt idx="198">
                  <c:v>44804.041250000002</c:v>
                </c:pt>
                <c:pt idx="199">
                  <c:v>44834.041250000002</c:v>
                </c:pt>
                <c:pt idx="200">
                  <c:v>44865.041250000002</c:v>
                </c:pt>
                <c:pt idx="201">
                  <c:v>44895.041250000002</c:v>
                </c:pt>
                <c:pt idx="202">
                  <c:v>44925.041250000002</c:v>
                </c:pt>
                <c:pt idx="203">
                  <c:v>44957.041250000002</c:v>
                </c:pt>
                <c:pt idx="204">
                  <c:v>44985.041250000002</c:v>
                </c:pt>
                <c:pt idx="205">
                  <c:v>45016.041250000002</c:v>
                </c:pt>
                <c:pt idx="206">
                  <c:v>45044.041250000002</c:v>
                </c:pt>
                <c:pt idx="207">
                  <c:v>45077.041250000002</c:v>
                </c:pt>
                <c:pt idx="208">
                  <c:v>45107.041250000002</c:v>
                </c:pt>
                <c:pt idx="209">
                  <c:v>45138.041250000002</c:v>
                </c:pt>
                <c:pt idx="210">
                  <c:v>45169.041250000002</c:v>
                </c:pt>
                <c:pt idx="211">
                  <c:v>45198.041250000002</c:v>
                </c:pt>
                <c:pt idx="212">
                  <c:v>45230.041250000002</c:v>
                </c:pt>
                <c:pt idx="213">
                  <c:v>45260.041250000002</c:v>
                </c:pt>
                <c:pt idx="214">
                  <c:v>45289.041250000002</c:v>
                </c:pt>
                <c:pt idx="215">
                  <c:v>45322.041250000002</c:v>
                </c:pt>
                <c:pt idx="216">
                  <c:v>45351.041250000002</c:v>
                </c:pt>
                <c:pt idx="217">
                  <c:v>45378.041250000002</c:v>
                </c:pt>
                <c:pt idx="218">
                  <c:v>45412.041250000002</c:v>
                </c:pt>
                <c:pt idx="219">
                  <c:v>45443.041250000002</c:v>
                </c:pt>
                <c:pt idx="220">
                  <c:v>45471.041250000002</c:v>
                </c:pt>
                <c:pt idx="221">
                  <c:v>45504.041250000002</c:v>
                </c:pt>
                <c:pt idx="222">
                  <c:v>45534.041250000002</c:v>
                </c:pt>
                <c:pt idx="223">
                  <c:v>45565.041250000002</c:v>
                </c:pt>
                <c:pt idx="224">
                  <c:v>45596.041250000002</c:v>
                </c:pt>
                <c:pt idx="225">
                  <c:v>45625.041250000002</c:v>
                </c:pt>
                <c:pt idx="226">
                  <c:v>45657.041250000002</c:v>
                </c:pt>
                <c:pt idx="227">
                  <c:v>45688.041250000002</c:v>
                </c:pt>
                <c:pt idx="228">
                  <c:v>45716.041250000002</c:v>
                </c:pt>
                <c:pt idx="229">
                  <c:v>45747.041250000002</c:v>
                </c:pt>
                <c:pt idx="230">
                  <c:v>45777.041250000002</c:v>
                </c:pt>
                <c:pt idx="231">
                  <c:v>45807.041250000002</c:v>
                </c:pt>
                <c:pt idx="232">
                  <c:v>45838.041250000002</c:v>
                </c:pt>
                <c:pt idx="233">
                  <c:v>45869.041250000002</c:v>
                </c:pt>
                <c:pt idx="234">
                  <c:v>45898.041250000002</c:v>
                </c:pt>
                <c:pt idx="235">
                  <c:v>45930.041250000002</c:v>
                </c:pt>
                <c:pt idx="236">
                  <c:v>45961.041250000002</c:v>
                </c:pt>
                <c:pt idx="237">
                  <c:v>45989.041250000002</c:v>
                </c:pt>
                <c:pt idx="238">
                  <c:v>46022.041250000002</c:v>
                </c:pt>
                <c:pt idx="239">
                  <c:v>46052.041250000002</c:v>
                </c:pt>
                <c:pt idx="240">
                  <c:v>46080.041250000002</c:v>
                </c:pt>
                <c:pt idx="241">
                  <c:v>46112.041250000002</c:v>
                </c:pt>
                <c:pt idx="242">
                  <c:v>46142.041250000002</c:v>
                </c:pt>
                <c:pt idx="243">
                  <c:v>46171.041250000002</c:v>
                </c:pt>
                <c:pt idx="244">
                  <c:v>46203.041250000002</c:v>
                </c:pt>
                <c:pt idx="245">
                  <c:v>46209.041250000002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</c:numCache>
            </c:numRef>
          </c:cat>
          <c:val>
            <c:numRef>
              <c:f>Crecimiento!$C$2:$C$304</c:f>
              <c:numCache>
                <c:formatCode>0.0%</c:formatCode>
                <c:ptCount val="303"/>
                <c:pt idx="0">
                  <c:v>-8.4704937775993527E-2</c:v>
                </c:pt>
                <c:pt idx="1">
                  <c:v>-5.2130898021308991E-2</c:v>
                </c:pt>
                <c:pt idx="2">
                  <c:v>0.15924128804587556</c:v>
                </c:pt>
                <c:pt idx="3">
                  <c:v>-5.7017543859648745E-3</c:v>
                </c:pt>
                <c:pt idx="4">
                  <c:v>4.6831955922864932E-2</c:v>
                </c:pt>
                <c:pt idx="5">
                  <c:v>-1.4479638009049833E-2</c:v>
                </c:pt>
                <c:pt idx="6">
                  <c:v>-5.1094890510948843E-2</c:v>
                </c:pt>
                <c:pt idx="7">
                  <c:v>0</c:v>
                </c:pt>
                <c:pt idx="8">
                  <c:v>-7.5793650793650746E-2</c:v>
                </c:pt>
                <c:pt idx="9">
                  <c:v>-2.0217729393468109E-2</c:v>
                </c:pt>
                <c:pt idx="10">
                  <c:v>-5.9597806215722193E-2</c:v>
                </c:pt>
                <c:pt idx="11">
                  <c:v>2.1666044079193147E-2</c:v>
                </c:pt>
                <c:pt idx="12">
                  <c:v>5.1453260015710933E-2</c:v>
                </c:pt>
                <c:pt idx="13">
                  <c:v>1.7585931254995968E-2</c:v>
                </c:pt>
                <c:pt idx="14">
                  <c:v>-0.14607508532423208</c:v>
                </c:pt>
                <c:pt idx="15">
                  <c:v>4.7925608011444965E-2</c:v>
                </c:pt>
                <c:pt idx="16">
                  <c:v>0.1219903691813804</c:v>
                </c:pt>
                <c:pt idx="17">
                  <c:v>-3.5985605757696826E-3</c:v>
                </c:pt>
                <c:pt idx="18">
                  <c:v>8.5032537960954446E-2</c:v>
                </c:pt>
                <c:pt idx="19">
                  <c:v>1.3632365875110075E-2</c:v>
                </c:pt>
                <c:pt idx="20">
                  <c:v>4.0256175663311966E-2</c:v>
                </c:pt>
                <c:pt idx="21">
                  <c:v>9.9597585513078402E-2</c:v>
                </c:pt>
                <c:pt idx="22">
                  <c:v>-4.3310875842155983E-2</c:v>
                </c:pt>
                <c:pt idx="23">
                  <c:v>5.8083252662148865E-3</c:v>
                </c:pt>
                <c:pt idx="24">
                  <c:v>4.5546558704453455E-2</c:v>
                </c:pt>
                <c:pt idx="25">
                  <c:v>-3.4684904738641831E-2</c:v>
                </c:pt>
                <c:pt idx="26">
                  <c:v>-9.196515004840311E-3</c:v>
                </c:pt>
                <c:pt idx="27">
                  <c:v>0.15161649944258637</c:v>
                </c:pt>
                <c:pt idx="28">
                  <c:v>0.19440745672436766</c:v>
                </c:pt>
                <c:pt idx="29">
                  <c:v>3.3012379642365808E-2</c:v>
                </c:pt>
                <c:pt idx="30">
                  <c:v>0.10402429764616539</c:v>
                </c:pt>
                <c:pt idx="31">
                  <c:v>0.95111111111111102</c:v>
                </c:pt>
                <c:pt idx="32">
                  <c:v>1.4836795252224366E-3</c:v>
                </c:pt>
                <c:pt idx="33">
                  <c:v>-0.24524076147816343</c:v>
                </c:pt>
                <c:pt idx="34">
                  <c:v>0.12468513853904284</c:v>
                </c:pt>
                <c:pt idx="35">
                  <c:v>0.37370242214532867</c:v>
                </c:pt>
                <c:pt idx="36">
                  <c:v>-7.8149920255183303E-2</c:v>
                </c:pt>
                <c:pt idx="37">
                  <c:v>-0.12795549374130744</c:v>
                </c:pt>
                <c:pt idx="38">
                  <c:v>-0.22604951560818076</c:v>
                </c:pt>
                <c:pt idx="39">
                  <c:v>2.9933481152993213E-2</c:v>
                </c:pt>
                <c:pt idx="40">
                  <c:v>-6.6079295154185536E-3</c:v>
                </c:pt>
                <c:pt idx="41">
                  <c:v>-0.29666924864446165</c:v>
                </c:pt>
                <c:pt idx="42">
                  <c:v>1.0963194988253822E-2</c:v>
                </c:pt>
                <c:pt idx="43">
                  <c:v>0.26938369781312121</c:v>
                </c:pt>
                <c:pt idx="44">
                  <c:v>-6.331471135940403E-2</c:v>
                </c:pt>
                <c:pt idx="45">
                  <c:v>-5.6239015817223237E-2</c:v>
                </c:pt>
                <c:pt idx="46">
                  <c:v>0.27293064876957507</c:v>
                </c:pt>
                <c:pt idx="47">
                  <c:v>-3.3444816053512794E-3</c:v>
                </c:pt>
                <c:pt idx="48">
                  <c:v>-3.6519871106337254E-2</c:v>
                </c:pt>
                <c:pt idx="49">
                  <c:v>-0.13475836431226762</c:v>
                </c:pt>
                <c:pt idx="50">
                  <c:v>8.434864104967188E-3</c:v>
                </c:pt>
                <c:pt idx="51">
                  <c:v>0.11377870563674319</c:v>
                </c:pt>
                <c:pt idx="52">
                  <c:v>5.0438596491228171E-2</c:v>
                </c:pt>
                <c:pt idx="53">
                  <c:v>0.16773367477592815</c:v>
                </c:pt>
                <c:pt idx="54">
                  <c:v>-4.6398046398046344E-2</c:v>
                </c:pt>
                <c:pt idx="55">
                  <c:v>-3.6496350364965124E-3</c:v>
                </c:pt>
                <c:pt idx="56">
                  <c:v>-4.418604651162783E-2</c:v>
                </c:pt>
                <c:pt idx="57">
                  <c:v>-0.14085914085914086</c:v>
                </c:pt>
                <c:pt idx="58">
                  <c:v>0.14925373134328335</c:v>
                </c:pt>
                <c:pt idx="59">
                  <c:v>5.3204353083434297E-2</c:v>
                </c:pt>
                <c:pt idx="60">
                  <c:v>-1.5476190476190532E-2</c:v>
                </c:pt>
                <c:pt idx="61">
                  <c:v>6.4638783269961975E-2</c:v>
                </c:pt>
                <c:pt idx="62">
                  <c:v>0</c:v>
                </c:pt>
                <c:pt idx="63">
                  <c:v>-7.5471698113208641E-3</c:v>
                </c:pt>
                <c:pt idx="64">
                  <c:v>0.21745788667687593</c:v>
                </c:pt>
                <c:pt idx="65">
                  <c:v>0.2414448669201521</c:v>
                </c:pt>
                <c:pt idx="66">
                  <c:v>0.49857549857549865</c:v>
                </c:pt>
                <c:pt idx="67">
                  <c:v>-0.23362445414847166</c:v>
                </c:pt>
                <c:pt idx="68">
                  <c:v>-8.582834331337319E-2</c:v>
                </c:pt>
                <c:pt idx="69">
                  <c:v>-0.14940577249575548</c:v>
                </c:pt>
                <c:pt idx="70">
                  <c:v>-0.1561604584527222</c:v>
                </c:pt>
                <c:pt idx="71">
                  <c:v>-0.10051546391752564</c:v>
                </c:pt>
                <c:pt idx="72">
                  <c:v>-4.1975308641975295E-2</c:v>
                </c:pt>
                <c:pt idx="73">
                  <c:v>4.7865459249676556E-2</c:v>
                </c:pt>
                <c:pt idx="74">
                  <c:v>0.17298937784522006</c:v>
                </c:pt>
                <c:pt idx="75">
                  <c:v>-0.10583446404341934</c:v>
                </c:pt>
                <c:pt idx="76">
                  <c:v>-3.4076015727391828E-2</c:v>
                </c:pt>
                <c:pt idx="77">
                  <c:v>-4.7440699126092389E-2</c:v>
                </c:pt>
                <c:pt idx="78">
                  <c:v>-8.9772727272727337E-2</c:v>
                </c:pt>
                <c:pt idx="79">
                  <c:v>-9.8360655737704805E-2</c:v>
                </c:pt>
                <c:pt idx="80">
                  <c:v>3.0623020063357931E-2</c:v>
                </c:pt>
                <c:pt idx="81">
                  <c:v>-9.2911877394635911E-2</c:v>
                </c:pt>
                <c:pt idx="82">
                  <c:v>-8.4210526315789513E-2</c:v>
                </c:pt>
                <c:pt idx="83">
                  <c:v>1.0638297872340496E-2</c:v>
                </c:pt>
                <c:pt idx="84">
                  <c:v>-8.663967611336032E-2</c:v>
                </c:pt>
                <c:pt idx="85">
                  <c:v>5.555555555555558E-2</c:v>
                </c:pt>
                <c:pt idx="86">
                  <c:v>-8.3072100313479669E-2</c:v>
                </c:pt>
                <c:pt idx="87">
                  <c:v>8.503401360544216E-2</c:v>
                </c:pt>
                <c:pt idx="88">
                  <c:v>-6.5182829888712268E-2</c:v>
                </c:pt>
                <c:pt idx="89">
                  <c:v>-3.0069390902081716E-2</c:v>
                </c:pt>
                <c:pt idx="90">
                  <c:v>3.5115722266560345E-2</c:v>
                </c:pt>
                <c:pt idx="91">
                  <c:v>5.6492411467116366E-2</c:v>
                </c:pt>
                <c:pt idx="92">
                  <c:v>-3.967611336032395E-2</c:v>
                </c:pt>
                <c:pt idx="93">
                  <c:v>-5.7971014492753659E-2</c:v>
                </c:pt>
                <c:pt idx="94">
                  <c:v>-7.2186836518046804E-2</c:v>
                </c:pt>
                <c:pt idx="95">
                  <c:v>-4.6558704453441235E-2</c:v>
                </c:pt>
                <c:pt idx="96">
                  <c:v>5.1063829787234116E-2</c:v>
                </c:pt>
                <c:pt idx="97">
                  <c:v>-5.1782111634162686E-2</c:v>
                </c:pt>
                <c:pt idx="98">
                  <c:v>1.0190217391304213E-2</c:v>
                </c:pt>
                <c:pt idx="99">
                  <c:v>-3.6018336607727464E-2</c:v>
                </c:pt>
                <c:pt idx="100">
                  <c:v>3.5956580732700028E-2</c:v>
                </c:pt>
                <c:pt idx="101">
                  <c:v>-4.5336787564766778E-2</c:v>
                </c:pt>
                <c:pt idx="102">
                  <c:v>-7.7120822622108731E-3</c:v>
                </c:pt>
                <c:pt idx="103">
                  <c:v>5.4915254237288158E-2</c:v>
                </c:pt>
                <c:pt idx="104">
                  <c:v>-3.9087947882736174E-2</c:v>
                </c:pt>
                <c:pt idx="105">
                  <c:v>0.1480927449513838</c:v>
                </c:pt>
                <c:pt idx="106">
                  <c:v>0.13017751479289941</c:v>
                </c:pt>
                <c:pt idx="107">
                  <c:v>-0.12175204157386788</c:v>
                </c:pt>
                <c:pt idx="108">
                  <c:v>4.7433903576983072E-2</c:v>
                </c:pt>
                <c:pt idx="109">
                  <c:v>-5.9941520467836296E-2</c:v>
                </c:pt>
                <c:pt idx="110">
                  <c:v>2.6256564141035277E-2</c:v>
                </c:pt>
                <c:pt idx="111">
                  <c:v>5.3629646198194436E-4</c:v>
                </c:pt>
                <c:pt idx="112">
                  <c:v>4.9870370370370454E-2</c:v>
                </c:pt>
                <c:pt idx="113">
                  <c:v>4.5304777594728174E-2</c:v>
                </c:pt>
                <c:pt idx="114">
                  <c:v>0.11376146788990837</c:v>
                </c:pt>
                <c:pt idx="115">
                  <c:v>0.12603305785123964</c:v>
                </c:pt>
                <c:pt idx="116">
                  <c:v>-4.115226337448652E-3</c:v>
                </c:pt>
                <c:pt idx="117">
                  <c:v>0.1146788990825689</c:v>
                </c:pt>
                <c:pt idx="118">
                  <c:v>0.15039577836411611</c:v>
                </c:pt>
                <c:pt idx="119">
                  <c:v>-0.18054054054054058</c:v>
                </c:pt>
                <c:pt idx="120">
                  <c:v>-0.20258620689655171</c:v>
                </c:pt>
                <c:pt idx="121">
                  <c:v>-5.5374592833876246E-2</c:v>
                </c:pt>
                <c:pt idx="122">
                  <c:v>8.8652482269503619E-2</c:v>
                </c:pt>
                <c:pt idx="123">
                  <c:v>3.7718491260349651E-2</c:v>
                </c:pt>
                <c:pt idx="124">
                  <c:v>-0.20887918486171764</c:v>
                </c:pt>
                <c:pt idx="125">
                  <c:v>-8.21643286573146E-2</c:v>
                </c:pt>
                <c:pt idx="126">
                  <c:v>1.3540961408259999E-2</c:v>
                </c:pt>
                <c:pt idx="127">
                  <c:v>-6.1029879211697446E-2</c:v>
                </c:pt>
                <c:pt idx="128">
                  <c:v>2.2092267706302682E-2</c:v>
                </c:pt>
                <c:pt idx="129">
                  <c:v>-3.20754716981132E-2</c:v>
                </c:pt>
                <c:pt idx="130">
                  <c:v>-0.14146868250539957</c:v>
                </c:pt>
                <c:pt idx="131">
                  <c:v>0.13202933985330079</c:v>
                </c:pt>
                <c:pt idx="132">
                  <c:v>3.6809815950920033E-3</c:v>
                </c:pt>
                <c:pt idx="133">
                  <c:v>-2.102102102102088E-2</c:v>
                </c:pt>
                <c:pt idx="134">
                  <c:v>7.9766536964980483E-2</c:v>
                </c:pt>
                <c:pt idx="135">
                  <c:v>-9.5601173020527952E-2</c:v>
                </c:pt>
                <c:pt idx="136">
                  <c:v>-8.720930232558044E-3</c:v>
                </c:pt>
                <c:pt idx="137">
                  <c:v>2.9323758228605445E-2</c:v>
                </c:pt>
                <c:pt idx="138">
                  <c:v>9.6676737160121817E-3</c:v>
                </c:pt>
                <c:pt idx="139">
                  <c:v>6.2259306803594372E-2</c:v>
                </c:pt>
                <c:pt idx="140">
                  <c:v>9.256661991584858E-2</c:v>
                </c:pt>
                <c:pt idx="141">
                  <c:v>-2.9931972789115635E-2</c:v>
                </c:pt>
                <c:pt idx="142">
                  <c:v>-5.0387596899224896E-2</c:v>
                </c:pt>
                <c:pt idx="143">
                  <c:v>0.2433734939759038</c:v>
                </c:pt>
                <c:pt idx="144">
                  <c:v>3.4912718204488824E-2</c:v>
                </c:pt>
                <c:pt idx="145">
                  <c:v>2.8205128205128105E-2</c:v>
                </c:pt>
                <c:pt idx="146">
                  <c:v>-1.3490725126475533E-2</c:v>
                </c:pt>
                <c:pt idx="147">
                  <c:v>-9.1883614088820953E-2</c:v>
                </c:pt>
                <c:pt idx="148">
                  <c:v>-5.9755219582433461E-2</c:v>
                </c:pt>
                <c:pt idx="149">
                  <c:v>2.5849335302806642E-2</c:v>
                </c:pt>
                <c:pt idx="150">
                  <c:v>3.0441400304414001E-2</c:v>
                </c:pt>
                <c:pt idx="151">
                  <c:v>0.29585798816568043</c:v>
                </c:pt>
                <c:pt idx="152">
                  <c:v>-3.1518624641833859E-2</c:v>
                </c:pt>
                <c:pt idx="153">
                  <c:v>0.10326659641728142</c:v>
                </c:pt>
                <c:pt idx="154">
                  <c:v>-8.1316553727008745E-2</c:v>
                </c:pt>
                <c:pt idx="155">
                  <c:v>9.1966173361522019E-2</c:v>
                </c:pt>
                <c:pt idx="156">
                  <c:v>4.299889746416774E-2</c:v>
                </c:pt>
                <c:pt idx="157">
                  <c:v>3.4207525655644222E-2</c:v>
                </c:pt>
                <c:pt idx="158">
                  <c:v>9.7622027534417954E-2</c:v>
                </c:pt>
                <c:pt idx="159">
                  <c:v>-1.2360939431396711E-2</c:v>
                </c:pt>
                <c:pt idx="160">
                  <c:v>0.18795888399412641</c:v>
                </c:pt>
                <c:pt idx="161">
                  <c:v>-8.8353413654618462E-2</c:v>
                </c:pt>
                <c:pt idx="162">
                  <c:v>-2.8608582574772501E-2</c:v>
                </c:pt>
                <c:pt idx="163">
                  <c:v>6.3623789764868599E-2</c:v>
                </c:pt>
                <c:pt idx="164">
                  <c:v>1.118881118881121E-2</c:v>
                </c:pt>
                <c:pt idx="165">
                  <c:v>9.8870056497175618E-3</c:v>
                </c:pt>
                <c:pt idx="166">
                  <c:v>-6.8421052631578938E-2</c:v>
                </c:pt>
                <c:pt idx="167">
                  <c:v>0.19873817034700303</c:v>
                </c:pt>
                <c:pt idx="168">
                  <c:v>0.28600405679513186</c:v>
                </c:pt>
                <c:pt idx="169">
                  <c:v>-2.7613412228796985E-2</c:v>
                </c:pt>
                <c:pt idx="170">
                  <c:v>-3.4285714285714253E-2</c:v>
                </c:pt>
                <c:pt idx="171">
                  <c:v>-0.18981481481481488</c:v>
                </c:pt>
                <c:pt idx="172">
                  <c:v>-4.9853372434017551E-2</c:v>
                </c:pt>
                <c:pt idx="173">
                  <c:v>-2.8490028490028352E-2</c:v>
                </c:pt>
                <c:pt idx="174">
                  <c:v>-0.16229116945107414</c:v>
                </c:pt>
                <c:pt idx="175">
                  <c:v>-4.3378995433789869E-2</c:v>
                </c:pt>
                <c:pt idx="176">
                  <c:v>-4.7826086956521685E-2</c:v>
                </c:pt>
                <c:pt idx="177">
                  <c:v>-0.10418695228821817</c:v>
                </c:pt>
                <c:pt idx="178">
                  <c:v>-0.1267006802721089</c:v>
                </c:pt>
                <c:pt idx="179">
                  <c:v>-0.15638450502152079</c:v>
                </c:pt>
                <c:pt idx="180">
                  <c:v>-3.3287101248266282E-2</c:v>
                </c:pt>
                <c:pt idx="181">
                  <c:v>-0.10379117464263521</c:v>
                </c:pt>
                <c:pt idx="182">
                  <c:v>-4.2831647828673325E-2</c:v>
                </c:pt>
                <c:pt idx="183">
                  <c:v>-5.9453032104650472E-4</c:v>
                </c:pt>
                <c:pt idx="184">
                  <c:v>3.5714285714285809E-2</c:v>
                </c:pt>
                <c:pt idx="185">
                  <c:v>-1.5757575757575859E-2</c:v>
                </c:pt>
                <c:pt idx="186">
                  <c:v>0.10812625923438546</c:v>
                </c:pt>
                <c:pt idx="187">
                  <c:v>0.12462235649546827</c:v>
                </c:pt>
                <c:pt idx="188">
                  <c:v>-4.5112781954887993E-3</c:v>
                </c:pt>
                <c:pt idx="189">
                  <c:v>-4.932094353109362E-2</c:v>
                </c:pt>
                <c:pt idx="190">
                  <c:v>0.11031746031746037</c:v>
                </c:pt>
                <c:pt idx="191">
                  <c:v>0.19771863117870714</c:v>
                </c:pt>
                <c:pt idx="192">
                  <c:v>-1.5902712815715647E-2</c:v>
                </c:pt>
                <c:pt idx="193">
                  <c:v>0.19042316258351888</c:v>
                </c:pt>
                <c:pt idx="194">
                  <c:v>-3.0237580993520474E-2</c:v>
                </c:pt>
                <c:pt idx="195">
                  <c:v>0.18263090676883786</c:v>
                </c:pt>
                <c:pt idx="196">
                  <c:v>-4.8602673147023157E-2</c:v>
                </c:pt>
                <c:pt idx="197">
                  <c:v>0.101740294511379</c:v>
                </c:pt>
                <c:pt idx="198">
                  <c:v>7.6368876080691539E-2</c:v>
                </c:pt>
                <c:pt idx="199">
                  <c:v>-9.8701298701298623E-2</c:v>
                </c:pt>
                <c:pt idx="200">
                  <c:v>-0.12994350282485867</c:v>
                </c:pt>
                <c:pt idx="201">
                  <c:v>0.12309644670050757</c:v>
                </c:pt>
                <c:pt idx="202">
                  <c:v>-0.21513944223107562</c:v>
                </c:pt>
                <c:pt idx="203">
                  <c:v>9.6069868995632968E-2</c:v>
                </c:pt>
                <c:pt idx="204">
                  <c:v>-7.3811931243680573E-2</c:v>
                </c:pt>
                <c:pt idx="205">
                  <c:v>-8.4259259259259256E-2</c:v>
                </c:pt>
                <c:pt idx="206">
                  <c:v>1.5037593984962516E-2</c:v>
                </c:pt>
                <c:pt idx="207">
                  <c:v>-0.1206611570247933</c:v>
                </c:pt>
                <c:pt idx="208">
                  <c:v>-4.8742138364779919E-2</c:v>
                </c:pt>
                <c:pt idx="209">
                  <c:v>-5.4275092936802882E-2</c:v>
                </c:pt>
                <c:pt idx="210">
                  <c:v>0.18293755496921715</c:v>
                </c:pt>
                <c:pt idx="211">
                  <c:v>4.9861495844875314E-2</c:v>
                </c:pt>
                <c:pt idx="212">
                  <c:v>-0.10273405136702574</c:v>
                </c:pt>
                <c:pt idx="213">
                  <c:v>-8.698940998487148E-2</c:v>
                </c:pt>
                <c:pt idx="214">
                  <c:v>-7.5524475524475498E-2</c:v>
                </c:pt>
                <c:pt idx="215">
                  <c:v>9.7467382962394655E-2</c:v>
                </c:pt>
                <c:pt idx="216">
                  <c:v>-0.11179277436946156</c:v>
                </c:pt>
                <c:pt idx="217">
                  <c:v>8.1061164333087632E-2</c:v>
                </c:pt>
                <c:pt idx="218">
                  <c:v>6.2646828504306917E-2</c:v>
                </c:pt>
                <c:pt idx="219">
                  <c:v>9.0520922288642058E-2</c:v>
                </c:pt>
                <c:pt idx="220">
                  <c:v>-2.7408637873754027E-2</c:v>
                </c:pt>
                <c:pt idx="221">
                  <c:v>5.8479532163742132E-3</c:v>
                </c:pt>
                <c:pt idx="222">
                  <c:v>-7.4626865671642006E-3</c:v>
                </c:pt>
                <c:pt idx="223">
                  <c:v>0.14421252371916515</c:v>
                </c:pt>
                <c:pt idx="224">
                  <c:v>-5.385996409335736E-2</c:v>
                </c:pt>
                <c:pt idx="225">
                  <c:v>-4.6232876712328674E-2</c:v>
                </c:pt>
                <c:pt idx="226">
                  <c:v>-5.0406504065040769E-2</c:v>
                </c:pt>
                <c:pt idx="227">
                  <c:v>-2.6128266033254133E-2</c:v>
                </c:pt>
                <c:pt idx="228">
                  <c:v>9.3506493506493538E-2</c:v>
                </c:pt>
                <c:pt idx="229">
                  <c:v>-4.5454545454545414E-2</c:v>
                </c:pt>
                <c:pt idx="230">
                  <c:v>-8.8855421686746983E-2</c:v>
                </c:pt>
                <c:pt idx="231">
                  <c:v>2.5482625482625476E-2</c:v>
                </c:pt>
                <c:pt idx="232">
                  <c:v>-0.21372191863995138</c:v>
                </c:pt>
                <c:pt idx="233">
                  <c:v>-2.486678507992901E-2</c:v>
                </c:pt>
                <c:pt idx="234">
                  <c:v>2.9878048780487942E-2</c:v>
                </c:pt>
                <c:pt idx="235">
                  <c:v>-0.13135593220338981</c:v>
                </c:pt>
                <c:pt idx="236">
                  <c:v>-2.5296850800206605E-2</c:v>
                </c:pt>
                <c:pt idx="237">
                  <c:v>-6.2893081761006275E-2</c:v>
                </c:pt>
                <c:pt idx="238">
                  <c:v>-4.6586715867158568E-2</c:v>
                </c:pt>
                <c:pt idx="239">
                  <c:v>5.5658627087198376E-3</c:v>
                </c:pt>
                <c:pt idx="240">
                  <c:v>4.9148418491484103E-2</c:v>
                </c:pt>
                <c:pt idx="241">
                  <c:v>-4.195804195804187E-2</c:v>
                </c:pt>
                <c:pt idx="242">
                  <c:v>-6.0446780551905333E-2</c:v>
                </c:pt>
                <c:pt idx="243">
                  <c:v>8.7142857142856966E-2</c:v>
                </c:pt>
                <c:pt idx="244">
                  <c:v>-1.9149929939280663E-2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45-4CF4-94F7-9F6DD6CD7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549488"/>
        <c:axId val="1929168848"/>
      </c:lineChart>
      <c:dateAx>
        <c:axId val="224549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9168848"/>
        <c:crosses val="autoZero"/>
        <c:auto val="0"/>
        <c:lblOffset val="100"/>
        <c:baseTimeUnit val="months"/>
        <c:majorUnit val="2"/>
        <c:majorTimeUnit val="years"/>
      </c:dateAx>
      <c:valAx>
        <c:axId val="192916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Variación mensual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454948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FEMSA — Tasa de crecimiento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FEMSA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Crecimiento!$A$2:$A$304</c:f>
              <c:numCache>
                <c:formatCode>m/d/yyyy</c:formatCode>
                <c:ptCount val="303"/>
                <c:pt idx="0">
                  <c:v>38776.041250000002</c:v>
                </c:pt>
                <c:pt idx="1">
                  <c:v>38807.041250000002</c:v>
                </c:pt>
                <c:pt idx="2">
                  <c:v>38835.041250000002</c:v>
                </c:pt>
                <c:pt idx="3">
                  <c:v>38868.041250000002</c:v>
                </c:pt>
                <c:pt idx="4">
                  <c:v>38898.041250000002</c:v>
                </c:pt>
                <c:pt idx="5">
                  <c:v>38929.041250000002</c:v>
                </c:pt>
                <c:pt idx="6">
                  <c:v>38960.041250000002</c:v>
                </c:pt>
                <c:pt idx="7">
                  <c:v>38989.041250000002</c:v>
                </c:pt>
                <c:pt idx="8">
                  <c:v>39021.041250000002</c:v>
                </c:pt>
                <c:pt idx="9">
                  <c:v>39051.041250000002</c:v>
                </c:pt>
                <c:pt idx="10">
                  <c:v>39080.041250000002</c:v>
                </c:pt>
                <c:pt idx="11">
                  <c:v>39113.041250000002</c:v>
                </c:pt>
                <c:pt idx="12">
                  <c:v>39141.041250000002</c:v>
                </c:pt>
                <c:pt idx="13">
                  <c:v>39171.041250000002</c:v>
                </c:pt>
                <c:pt idx="14">
                  <c:v>39202.041250000002</c:v>
                </c:pt>
                <c:pt idx="15">
                  <c:v>39233.041250000002</c:v>
                </c:pt>
                <c:pt idx="16">
                  <c:v>39262.041250000002</c:v>
                </c:pt>
                <c:pt idx="17">
                  <c:v>39294.041250000002</c:v>
                </c:pt>
                <c:pt idx="18">
                  <c:v>39325.041250000002</c:v>
                </c:pt>
                <c:pt idx="19">
                  <c:v>39353.041250000002</c:v>
                </c:pt>
                <c:pt idx="20">
                  <c:v>39386.041250000002</c:v>
                </c:pt>
                <c:pt idx="21">
                  <c:v>39416.041250000002</c:v>
                </c:pt>
                <c:pt idx="22">
                  <c:v>39447.041250000002</c:v>
                </c:pt>
                <c:pt idx="23">
                  <c:v>39478.041250000002</c:v>
                </c:pt>
                <c:pt idx="24">
                  <c:v>39507.041250000002</c:v>
                </c:pt>
                <c:pt idx="25">
                  <c:v>39538.041250000002</c:v>
                </c:pt>
                <c:pt idx="26">
                  <c:v>39568.041250000002</c:v>
                </c:pt>
                <c:pt idx="27">
                  <c:v>39598.041250000002</c:v>
                </c:pt>
                <c:pt idx="28">
                  <c:v>39629.041250000002</c:v>
                </c:pt>
                <c:pt idx="29">
                  <c:v>39660.041250000002</c:v>
                </c:pt>
                <c:pt idx="30">
                  <c:v>39689.041250000002</c:v>
                </c:pt>
                <c:pt idx="31">
                  <c:v>39721.041250000002</c:v>
                </c:pt>
                <c:pt idx="32">
                  <c:v>39752.041250000002</c:v>
                </c:pt>
                <c:pt idx="33">
                  <c:v>39780.041250000002</c:v>
                </c:pt>
                <c:pt idx="34">
                  <c:v>39813.041250000002</c:v>
                </c:pt>
                <c:pt idx="35">
                  <c:v>39843.041250000002</c:v>
                </c:pt>
                <c:pt idx="36">
                  <c:v>39871.041250000002</c:v>
                </c:pt>
                <c:pt idx="37">
                  <c:v>39903.041250000002</c:v>
                </c:pt>
                <c:pt idx="38">
                  <c:v>39933.041250000002</c:v>
                </c:pt>
                <c:pt idx="39">
                  <c:v>39962.041250000002</c:v>
                </c:pt>
                <c:pt idx="40">
                  <c:v>39994.041250000002</c:v>
                </c:pt>
                <c:pt idx="41">
                  <c:v>40025.041250000002</c:v>
                </c:pt>
                <c:pt idx="42">
                  <c:v>40056.041250000002</c:v>
                </c:pt>
                <c:pt idx="43">
                  <c:v>40086.041250000002</c:v>
                </c:pt>
                <c:pt idx="44">
                  <c:v>40116.041250000002</c:v>
                </c:pt>
                <c:pt idx="45">
                  <c:v>40147.041250000002</c:v>
                </c:pt>
                <c:pt idx="46">
                  <c:v>40178.041250000002</c:v>
                </c:pt>
                <c:pt idx="47">
                  <c:v>40207.041250000002</c:v>
                </c:pt>
                <c:pt idx="48">
                  <c:v>40235.041250000002</c:v>
                </c:pt>
                <c:pt idx="49">
                  <c:v>40268.041250000002</c:v>
                </c:pt>
                <c:pt idx="50">
                  <c:v>40298.041250000002</c:v>
                </c:pt>
                <c:pt idx="51">
                  <c:v>40329.041250000002</c:v>
                </c:pt>
                <c:pt idx="52">
                  <c:v>40359.041250000002</c:v>
                </c:pt>
                <c:pt idx="53">
                  <c:v>40389.041250000002</c:v>
                </c:pt>
                <c:pt idx="54">
                  <c:v>40421.041250000002</c:v>
                </c:pt>
                <c:pt idx="55">
                  <c:v>40451.041250000002</c:v>
                </c:pt>
                <c:pt idx="56">
                  <c:v>40480.041250000002</c:v>
                </c:pt>
                <c:pt idx="57">
                  <c:v>40512.041250000002</c:v>
                </c:pt>
                <c:pt idx="58">
                  <c:v>40543.041250000002</c:v>
                </c:pt>
                <c:pt idx="59">
                  <c:v>40574.041250000002</c:v>
                </c:pt>
                <c:pt idx="60">
                  <c:v>40602.041250000002</c:v>
                </c:pt>
                <c:pt idx="61">
                  <c:v>40633.041250000002</c:v>
                </c:pt>
                <c:pt idx="62">
                  <c:v>40662.041250000002</c:v>
                </c:pt>
                <c:pt idx="63">
                  <c:v>40694.041250000002</c:v>
                </c:pt>
                <c:pt idx="64">
                  <c:v>40724.041250000002</c:v>
                </c:pt>
                <c:pt idx="65">
                  <c:v>40753.041250000002</c:v>
                </c:pt>
                <c:pt idx="66">
                  <c:v>40786.041250000002</c:v>
                </c:pt>
                <c:pt idx="67">
                  <c:v>40816.041250000002</c:v>
                </c:pt>
                <c:pt idx="68">
                  <c:v>40847.041250000002</c:v>
                </c:pt>
                <c:pt idx="69">
                  <c:v>40877.041250000002</c:v>
                </c:pt>
                <c:pt idx="70">
                  <c:v>40907.041250000002</c:v>
                </c:pt>
                <c:pt idx="71">
                  <c:v>40939.041250000002</c:v>
                </c:pt>
                <c:pt idx="72">
                  <c:v>40968.041250000002</c:v>
                </c:pt>
                <c:pt idx="73">
                  <c:v>40998.041250000002</c:v>
                </c:pt>
                <c:pt idx="74">
                  <c:v>41029.041250000002</c:v>
                </c:pt>
                <c:pt idx="75">
                  <c:v>41060.041250000002</c:v>
                </c:pt>
                <c:pt idx="76">
                  <c:v>41089.041250000002</c:v>
                </c:pt>
                <c:pt idx="77">
                  <c:v>41121.041250000002</c:v>
                </c:pt>
                <c:pt idx="78">
                  <c:v>41152.041250000002</c:v>
                </c:pt>
                <c:pt idx="79">
                  <c:v>41180.041250000002</c:v>
                </c:pt>
                <c:pt idx="80">
                  <c:v>41213.041250000002</c:v>
                </c:pt>
                <c:pt idx="81">
                  <c:v>41243.041250000002</c:v>
                </c:pt>
                <c:pt idx="82">
                  <c:v>41274.041250000002</c:v>
                </c:pt>
                <c:pt idx="83">
                  <c:v>41305.041250000002</c:v>
                </c:pt>
                <c:pt idx="84">
                  <c:v>41333.041250000002</c:v>
                </c:pt>
                <c:pt idx="85">
                  <c:v>41360.041250000002</c:v>
                </c:pt>
                <c:pt idx="86">
                  <c:v>41394.041250000002</c:v>
                </c:pt>
                <c:pt idx="87">
                  <c:v>41425.041250000002</c:v>
                </c:pt>
                <c:pt idx="88">
                  <c:v>41453.041250000002</c:v>
                </c:pt>
                <c:pt idx="89">
                  <c:v>41486.041250000002</c:v>
                </c:pt>
                <c:pt idx="90">
                  <c:v>41516.041250000002</c:v>
                </c:pt>
                <c:pt idx="91">
                  <c:v>41547.041250000002</c:v>
                </c:pt>
                <c:pt idx="92">
                  <c:v>41578.041250000002</c:v>
                </c:pt>
                <c:pt idx="93">
                  <c:v>41607.041250000002</c:v>
                </c:pt>
                <c:pt idx="94">
                  <c:v>41639.041250000002</c:v>
                </c:pt>
                <c:pt idx="95">
                  <c:v>41670.041250000002</c:v>
                </c:pt>
                <c:pt idx="96">
                  <c:v>41698.041250000002</c:v>
                </c:pt>
                <c:pt idx="97">
                  <c:v>41729.041250000002</c:v>
                </c:pt>
                <c:pt idx="98">
                  <c:v>41759.041250000002</c:v>
                </c:pt>
                <c:pt idx="99">
                  <c:v>41789.041250000002</c:v>
                </c:pt>
                <c:pt idx="100">
                  <c:v>41820.041250000002</c:v>
                </c:pt>
                <c:pt idx="101">
                  <c:v>41851.041250000002</c:v>
                </c:pt>
                <c:pt idx="102">
                  <c:v>41880.041250000002</c:v>
                </c:pt>
                <c:pt idx="103">
                  <c:v>41912.041250000002</c:v>
                </c:pt>
                <c:pt idx="104">
                  <c:v>41943.041250000002</c:v>
                </c:pt>
                <c:pt idx="105">
                  <c:v>41971.041250000002</c:v>
                </c:pt>
                <c:pt idx="106">
                  <c:v>42004.041250000002</c:v>
                </c:pt>
                <c:pt idx="107">
                  <c:v>42034.041250000002</c:v>
                </c:pt>
                <c:pt idx="108">
                  <c:v>42062.041250000002</c:v>
                </c:pt>
                <c:pt idx="109">
                  <c:v>42094.041250000002</c:v>
                </c:pt>
                <c:pt idx="110">
                  <c:v>42124.041250000002</c:v>
                </c:pt>
                <c:pt idx="111">
                  <c:v>42153.041250000002</c:v>
                </c:pt>
                <c:pt idx="112">
                  <c:v>42185.041250000002</c:v>
                </c:pt>
                <c:pt idx="113">
                  <c:v>42216.041250000002</c:v>
                </c:pt>
                <c:pt idx="114">
                  <c:v>42247.041250000002</c:v>
                </c:pt>
                <c:pt idx="115">
                  <c:v>42277.041250000002</c:v>
                </c:pt>
                <c:pt idx="116">
                  <c:v>42307.041250000002</c:v>
                </c:pt>
                <c:pt idx="117">
                  <c:v>42338.041250000002</c:v>
                </c:pt>
                <c:pt idx="118">
                  <c:v>42369.041250000002</c:v>
                </c:pt>
                <c:pt idx="119">
                  <c:v>42398.041250000002</c:v>
                </c:pt>
                <c:pt idx="120">
                  <c:v>42429.041250000002</c:v>
                </c:pt>
                <c:pt idx="121">
                  <c:v>42460.041250000002</c:v>
                </c:pt>
                <c:pt idx="122">
                  <c:v>42489.041250000002</c:v>
                </c:pt>
                <c:pt idx="123">
                  <c:v>42521.041250000002</c:v>
                </c:pt>
                <c:pt idx="124">
                  <c:v>42551.041250000002</c:v>
                </c:pt>
                <c:pt idx="125">
                  <c:v>42580.041250000002</c:v>
                </c:pt>
                <c:pt idx="126">
                  <c:v>42613.041250000002</c:v>
                </c:pt>
                <c:pt idx="127">
                  <c:v>42643.041250000002</c:v>
                </c:pt>
                <c:pt idx="128">
                  <c:v>42674.041250000002</c:v>
                </c:pt>
                <c:pt idx="129">
                  <c:v>42704.041250000002</c:v>
                </c:pt>
                <c:pt idx="130">
                  <c:v>42734.041250000002</c:v>
                </c:pt>
                <c:pt idx="131">
                  <c:v>42766.041250000002</c:v>
                </c:pt>
                <c:pt idx="132">
                  <c:v>42794.041250000002</c:v>
                </c:pt>
                <c:pt idx="133">
                  <c:v>42825.041250000002</c:v>
                </c:pt>
                <c:pt idx="134">
                  <c:v>42853.041250000002</c:v>
                </c:pt>
                <c:pt idx="135">
                  <c:v>42886.041250000002</c:v>
                </c:pt>
                <c:pt idx="136">
                  <c:v>42916.041250000002</c:v>
                </c:pt>
                <c:pt idx="137">
                  <c:v>42947.041250000002</c:v>
                </c:pt>
                <c:pt idx="138">
                  <c:v>42978.041250000002</c:v>
                </c:pt>
                <c:pt idx="139">
                  <c:v>43007.041250000002</c:v>
                </c:pt>
                <c:pt idx="140">
                  <c:v>43039.041250000002</c:v>
                </c:pt>
                <c:pt idx="141">
                  <c:v>43069.041250000002</c:v>
                </c:pt>
                <c:pt idx="142">
                  <c:v>43098.041250000002</c:v>
                </c:pt>
                <c:pt idx="143">
                  <c:v>43131.041250000002</c:v>
                </c:pt>
                <c:pt idx="144">
                  <c:v>43159.041250000002</c:v>
                </c:pt>
                <c:pt idx="145">
                  <c:v>43187.041250000002</c:v>
                </c:pt>
                <c:pt idx="146">
                  <c:v>43220.041250000002</c:v>
                </c:pt>
                <c:pt idx="147">
                  <c:v>43251.041250000002</c:v>
                </c:pt>
                <c:pt idx="148">
                  <c:v>43280.041250000002</c:v>
                </c:pt>
                <c:pt idx="149">
                  <c:v>43312.041250000002</c:v>
                </c:pt>
                <c:pt idx="150">
                  <c:v>43343.041250000002</c:v>
                </c:pt>
                <c:pt idx="151">
                  <c:v>43371.041250000002</c:v>
                </c:pt>
                <c:pt idx="152">
                  <c:v>43404.041250000002</c:v>
                </c:pt>
                <c:pt idx="153">
                  <c:v>43434.041250000002</c:v>
                </c:pt>
                <c:pt idx="154">
                  <c:v>43465.041250000002</c:v>
                </c:pt>
                <c:pt idx="155">
                  <c:v>43496.041250000002</c:v>
                </c:pt>
                <c:pt idx="156">
                  <c:v>43524.041250000002</c:v>
                </c:pt>
                <c:pt idx="157">
                  <c:v>43553.041250000002</c:v>
                </c:pt>
                <c:pt idx="158">
                  <c:v>43585.041250000002</c:v>
                </c:pt>
                <c:pt idx="159">
                  <c:v>43616.041250000002</c:v>
                </c:pt>
                <c:pt idx="160">
                  <c:v>43644.041250000002</c:v>
                </c:pt>
                <c:pt idx="161">
                  <c:v>43677.041250000002</c:v>
                </c:pt>
                <c:pt idx="162">
                  <c:v>43707.041250000002</c:v>
                </c:pt>
                <c:pt idx="163">
                  <c:v>43738.041250000002</c:v>
                </c:pt>
                <c:pt idx="164">
                  <c:v>43769.041250000002</c:v>
                </c:pt>
                <c:pt idx="165">
                  <c:v>43798.041250000002</c:v>
                </c:pt>
                <c:pt idx="166">
                  <c:v>43830.041250000002</c:v>
                </c:pt>
                <c:pt idx="167">
                  <c:v>43861.041250000002</c:v>
                </c:pt>
                <c:pt idx="168">
                  <c:v>43889.041250000002</c:v>
                </c:pt>
                <c:pt idx="169">
                  <c:v>43921.041250000002</c:v>
                </c:pt>
                <c:pt idx="170">
                  <c:v>43951.041250000002</c:v>
                </c:pt>
                <c:pt idx="171">
                  <c:v>43980.041250000002</c:v>
                </c:pt>
                <c:pt idx="172">
                  <c:v>44012.041250000002</c:v>
                </c:pt>
                <c:pt idx="173">
                  <c:v>44043.041250000002</c:v>
                </c:pt>
                <c:pt idx="174">
                  <c:v>44074.041250000002</c:v>
                </c:pt>
                <c:pt idx="175">
                  <c:v>44104.041250000002</c:v>
                </c:pt>
                <c:pt idx="176">
                  <c:v>44134.041250000002</c:v>
                </c:pt>
                <c:pt idx="177">
                  <c:v>44165.041250000002</c:v>
                </c:pt>
                <c:pt idx="178">
                  <c:v>44196.041250000002</c:v>
                </c:pt>
                <c:pt idx="179">
                  <c:v>44225.041250000002</c:v>
                </c:pt>
                <c:pt idx="180">
                  <c:v>44253.041250000002</c:v>
                </c:pt>
                <c:pt idx="181">
                  <c:v>44286.041250000002</c:v>
                </c:pt>
                <c:pt idx="182">
                  <c:v>44316.041250000002</c:v>
                </c:pt>
                <c:pt idx="183">
                  <c:v>44347.041250000002</c:v>
                </c:pt>
                <c:pt idx="184">
                  <c:v>44377.041250000002</c:v>
                </c:pt>
                <c:pt idx="185">
                  <c:v>44407.041250000002</c:v>
                </c:pt>
                <c:pt idx="186">
                  <c:v>44439.041250000002</c:v>
                </c:pt>
                <c:pt idx="187">
                  <c:v>44469.041250000002</c:v>
                </c:pt>
                <c:pt idx="188">
                  <c:v>44498.041250000002</c:v>
                </c:pt>
                <c:pt idx="189">
                  <c:v>44530.041250000002</c:v>
                </c:pt>
                <c:pt idx="190">
                  <c:v>44561.041250000002</c:v>
                </c:pt>
                <c:pt idx="191">
                  <c:v>44592.041250000002</c:v>
                </c:pt>
                <c:pt idx="192">
                  <c:v>44620.041250000002</c:v>
                </c:pt>
                <c:pt idx="193">
                  <c:v>44651.041250000002</c:v>
                </c:pt>
                <c:pt idx="194">
                  <c:v>44680.041250000002</c:v>
                </c:pt>
                <c:pt idx="195">
                  <c:v>44712.041250000002</c:v>
                </c:pt>
                <c:pt idx="196">
                  <c:v>44742.041250000002</c:v>
                </c:pt>
                <c:pt idx="197">
                  <c:v>44771.041250000002</c:v>
                </c:pt>
                <c:pt idx="198">
                  <c:v>44804.041250000002</c:v>
                </c:pt>
                <c:pt idx="199">
                  <c:v>44834.041250000002</c:v>
                </c:pt>
                <c:pt idx="200">
                  <c:v>44865.041250000002</c:v>
                </c:pt>
                <c:pt idx="201">
                  <c:v>44895.041250000002</c:v>
                </c:pt>
                <c:pt idx="202">
                  <c:v>44925.041250000002</c:v>
                </c:pt>
                <c:pt idx="203">
                  <c:v>44957.041250000002</c:v>
                </c:pt>
                <c:pt idx="204">
                  <c:v>44985.041250000002</c:v>
                </c:pt>
                <c:pt idx="205">
                  <c:v>45016.041250000002</c:v>
                </c:pt>
                <c:pt idx="206">
                  <c:v>45044.041250000002</c:v>
                </c:pt>
                <c:pt idx="207">
                  <c:v>45077.041250000002</c:v>
                </c:pt>
                <c:pt idx="208">
                  <c:v>45107.041250000002</c:v>
                </c:pt>
                <c:pt idx="209">
                  <c:v>45138.041250000002</c:v>
                </c:pt>
                <c:pt idx="210">
                  <c:v>45169.041250000002</c:v>
                </c:pt>
                <c:pt idx="211">
                  <c:v>45198.041250000002</c:v>
                </c:pt>
                <c:pt idx="212">
                  <c:v>45230.041250000002</c:v>
                </c:pt>
                <c:pt idx="213">
                  <c:v>45260.041250000002</c:v>
                </c:pt>
                <c:pt idx="214">
                  <c:v>45289.041250000002</c:v>
                </c:pt>
                <c:pt idx="215">
                  <c:v>45322.041250000002</c:v>
                </c:pt>
                <c:pt idx="216">
                  <c:v>45351.041250000002</c:v>
                </c:pt>
                <c:pt idx="217">
                  <c:v>45378.041250000002</c:v>
                </c:pt>
                <c:pt idx="218">
                  <c:v>45412.041250000002</c:v>
                </c:pt>
                <c:pt idx="219">
                  <c:v>45443.041250000002</c:v>
                </c:pt>
                <c:pt idx="220">
                  <c:v>45471.041250000002</c:v>
                </c:pt>
                <c:pt idx="221">
                  <c:v>45504.041250000002</c:v>
                </c:pt>
                <c:pt idx="222">
                  <c:v>45534.041250000002</c:v>
                </c:pt>
                <c:pt idx="223">
                  <c:v>45565.041250000002</c:v>
                </c:pt>
                <c:pt idx="224">
                  <c:v>45596.041250000002</c:v>
                </c:pt>
                <c:pt idx="225">
                  <c:v>45625.041250000002</c:v>
                </c:pt>
                <c:pt idx="226">
                  <c:v>45657.041250000002</c:v>
                </c:pt>
                <c:pt idx="227">
                  <c:v>45688.041250000002</c:v>
                </c:pt>
                <c:pt idx="228">
                  <c:v>45716.041250000002</c:v>
                </c:pt>
                <c:pt idx="229">
                  <c:v>45747.041250000002</c:v>
                </c:pt>
                <c:pt idx="230">
                  <c:v>45777.041250000002</c:v>
                </c:pt>
                <c:pt idx="231">
                  <c:v>45807.041250000002</c:v>
                </c:pt>
                <c:pt idx="232">
                  <c:v>45838.041250000002</c:v>
                </c:pt>
                <c:pt idx="233">
                  <c:v>45869.041250000002</c:v>
                </c:pt>
                <c:pt idx="234">
                  <c:v>45898.041250000002</c:v>
                </c:pt>
                <c:pt idx="235">
                  <c:v>45930.041250000002</c:v>
                </c:pt>
                <c:pt idx="236">
                  <c:v>45961.041250000002</c:v>
                </c:pt>
                <c:pt idx="237">
                  <c:v>45989.041250000002</c:v>
                </c:pt>
                <c:pt idx="238">
                  <c:v>46022.041250000002</c:v>
                </c:pt>
                <c:pt idx="239">
                  <c:v>46052.041250000002</c:v>
                </c:pt>
                <c:pt idx="240">
                  <c:v>46080.041250000002</c:v>
                </c:pt>
                <c:pt idx="241">
                  <c:v>46112.041250000002</c:v>
                </c:pt>
                <c:pt idx="242">
                  <c:v>46142.041250000002</c:v>
                </c:pt>
                <c:pt idx="243">
                  <c:v>46171.041250000002</c:v>
                </c:pt>
                <c:pt idx="244">
                  <c:v>46203.041250000002</c:v>
                </c:pt>
                <c:pt idx="245">
                  <c:v>46209.041250000002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</c:numCache>
            </c:numRef>
          </c:cat>
          <c:val>
            <c:numRef>
              <c:f>Crecimiento!$D$2:$D$304</c:f>
              <c:numCache>
                <c:formatCode>0.0%</c:formatCode>
                <c:ptCount val="303"/>
                <c:pt idx="0">
                  <c:v>0.17021271978270813</c:v>
                </c:pt>
                <c:pt idx="1">
                  <c:v>-7.8611999188629711E-2</c:v>
                </c:pt>
                <c:pt idx="2">
                  <c:v>-2.7370674486802971E-3</c:v>
                </c:pt>
                <c:pt idx="3">
                  <c:v>-0.16009852216748766</c:v>
                </c:pt>
                <c:pt idx="4">
                  <c:v>-4.9922011701684643E-2</c:v>
                </c:pt>
                <c:pt idx="5">
                  <c:v>-0.11267994186046504</c:v>
                </c:pt>
                <c:pt idx="6">
                  <c:v>3.2000014742857186E-2</c:v>
                </c:pt>
                <c:pt idx="7">
                  <c:v>7.6923044970414578E-2</c:v>
                </c:pt>
                <c:pt idx="8">
                  <c:v>-0.10836761316872434</c:v>
                </c:pt>
                <c:pt idx="9">
                  <c:v>-0.14235293108650504</c:v>
                </c:pt>
                <c:pt idx="10">
                  <c:v>-5.5555566666666722E-2</c:v>
                </c:pt>
                <c:pt idx="11">
                  <c:v>-3.2258064516129004E-2</c:v>
                </c:pt>
                <c:pt idx="12">
                  <c:v>-3.125E-2</c:v>
                </c:pt>
                <c:pt idx="13">
                  <c:v>4.3478249527410417E-2</c:v>
                </c:pt>
                <c:pt idx="14">
                  <c:v>-2.0755720907336572E-2</c:v>
                </c:pt>
                <c:pt idx="15">
                  <c:v>-1.1052631462603935E-2</c:v>
                </c:pt>
                <c:pt idx="16">
                  <c:v>-4.9999980499999874E-2</c:v>
                </c:pt>
                <c:pt idx="17">
                  <c:v>1.5228426550542462E-2</c:v>
                </c:pt>
                <c:pt idx="18">
                  <c:v>5.1020203561020772E-3</c:v>
                </c:pt>
                <c:pt idx="19">
                  <c:v>-1.9999980200000045E-2</c:v>
                </c:pt>
                <c:pt idx="20">
                  <c:v>-0.10714285809948976</c:v>
                </c:pt>
                <c:pt idx="21">
                  <c:v>-0.11811023715047431</c:v>
                </c:pt>
                <c:pt idx="22">
                  <c:v>4.0983589828003542E-2</c:v>
                </c:pt>
                <c:pt idx="23">
                  <c:v>-6.1099795836254689E-3</c:v>
                </c:pt>
                <c:pt idx="24">
                  <c:v>-1.8314131477927154E-2</c:v>
                </c:pt>
                <c:pt idx="25">
                  <c:v>1.9070904645476894E-2</c:v>
                </c:pt>
                <c:pt idx="26">
                  <c:v>7.9155672823219003E-2</c:v>
                </c:pt>
                <c:pt idx="27">
                  <c:v>2.6455026455027841E-3</c:v>
                </c:pt>
                <c:pt idx="28">
                  <c:v>0</c:v>
                </c:pt>
                <c:pt idx="29">
                  <c:v>0.18905316137150052</c:v>
                </c:pt>
                <c:pt idx="30">
                  <c:v>-0.14081081081081082</c:v>
                </c:pt>
                <c:pt idx="31">
                  <c:v>0.1212121212121211</c:v>
                </c:pt>
                <c:pt idx="32">
                  <c:v>-0.21334922526817646</c:v>
                </c:pt>
                <c:pt idx="33">
                  <c:v>2.3843586075367185E-4</c:v>
                </c:pt>
                <c:pt idx="34">
                  <c:v>-6.7792842853967694E-2</c:v>
                </c:pt>
                <c:pt idx="35">
                  <c:v>0.12475000000000014</c:v>
                </c:pt>
                <c:pt idx="36">
                  <c:v>0</c:v>
                </c:pt>
                <c:pt idx="37">
                  <c:v>0</c:v>
                </c:pt>
                <c:pt idx="38">
                  <c:v>-9.0909090909090939E-2</c:v>
                </c:pt>
                <c:pt idx="39">
                  <c:v>4.7619047619047672E-2</c:v>
                </c:pt>
                <c:pt idx="40">
                  <c:v>0</c:v>
                </c:pt>
                <c:pt idx="41">
                  <c:v>0.20034295513003708</c:v>
                </c:pt>
                <c:pt idx="42">
                  <c:v>2.9117647058823692E-2</c:v>
                </c:pt>
                <c:pt idx="43">
                  <c:v>0.11475409836065564</c:v>
                </c:pt>
                <c:pt idx="44">
                  <c:v>-4.6875E-2</c:v>
                </c:pt>
                <c:pt idx="45">
                  <c:v>-0.101123595505618</c:v>
                </c:pt>
                <c:pt idx="46">
                  <c:v>-3.7837837837837784E-2</c:v>
                </c:pt>
                <c:pt idx="47">
                  <c:v>-7.4999999999999956E-2</c:v>
                </c:pt>
                <c:pt idx="48">
                  <c:v>3.6269430051813378E-2</c:v>
                </c:pt>
                <c:pt idx="49">
                  <c:v>-0.29161314002569283</c:v>
                </c:pt>
                <c:pt idx="50">
                  <c:v>-4.4035087719298205E-2</c:v>
                </c:pt>
                <c:pt idx="51">
                  <c:v>3.6363636363636376E-2</c:v>
                </c:pt>
                <c:pt idx="52">
                  <c:v>0.10220440881763526</c:v>
                </c:pt>
                <c:pt idx="53">
                  <c:v>2.9715229054890546E-2</c:v>
                </c:pt>
                <c:pt idx="54">
                  <c:v>-8.2474226804118977E-4</c:v>
                </c:pt>
                <c:pt idx="55">
                  <c:v>-4.9019607843137303E-2</c:v>
                </c:pt>
                <c:pt idx="56">
                  <c:v>0.13207547169811318</c:v>
                </c:pt>
                <c:pt idx="57">
                  <c:v>-9.8459075445267219E-2</c:v>
                </c:pt>
                <c:pt idx="58">
                  <c:v>4.0040040040034697E-4</c:v>
                </c:pt>
                <c:pt idx="59">
                  <c:v>-2.9908720139832923E-2</c:v>
                </c:pt>
                <c:pt idx="60">
                  <c:v>1.9603960396039621E-2</c:v>
                </c:pt>
                <c:pt idx="61">
                  <c:v>-9.8039215686274161E-3</c:v>
                </c:pt>
                <c:pt idx="62">
                  <c:v>-6.1292103810049681E-2</c:v>
                </c:pt>
                <c:pt idx="63">
                  <c:v>-6.2952742324939637E-2</c:v>
                </c:pt>
                <c:pt idx="64">
                  <c:v>0.11499999999999999</c:v>
                </c:pt>
                <c:pt idx="65">
                  <c:v>3.9792041591681704E-2</c:v>
                </c:pt>
                <c:pt idx="66">
                  <c:v>-2.8932038834951546E-2</c:v>
                </c:pt>
                <c:pt idx="67">
                  <c:v>-6.3466084742680562E-2</c:v>
                </c:pt>
                <c:pt idx="68">
                  <c:v>-1.8035714285714266E-2</c:v>
                </c:pt>
                <c:pt idx="69">
                  <c:v>-3.4482758620689613E-2</c:v>
                </c:pt>
                <c:pt idx="70">
                  <c:v>-9.375E-2</c:v>
                </c:pt>
                <c:pt idx="71">
                  <c:v>-4.491866885539475E-2</c:v>
                </c:pt>
                <c:pt idx="72">
                  <c:v>-5.6197183098591452E-2</c:v>
                </c:pt>
                <c:pt idx="73">
                  <c:v>-0.10126582278481011</c:v>
                </c:pt>
                <c:pt idx="74">
                  <c:v>0</c:v>
                </c:pt>
                <c:pt idx="75">
                  <c:v>1.2171684817424699E-2</c:v>
                </c:pt>
                <c:pt idx="76">
                  <c:v>4.0666666666666629E-2</c:v>
                </c:pt>
                <c:pt idx="77">
                  <c:v>-1.3157894736842146E-2</c:v>
                </c:pt>
                <c:pt idx="78">
                  <c:v>-5.5900621118012417E-2</c:v>
                </c:pt>
                <c:pt idx="79">
                  <c:v>-0.10555555555555551</c:v>
                </c:pt>
                <c:pt idx="80">
                  <c:v>-2.9858790557292236E-2</c:v>
                </c:pt>
                <c:pt idx="81">
                  <c:v>-4.3608247422680435E-2</c:v>
                </c:pt>
                <c:pt idx="82">
                  <c:v>3.7433155080213831E-2</c:v>
                </c:pt>
                <c:pt idx="83">
                  <c:v>2.1857923497267784E-2</c:v>
                </c:pt>
                <c:pt idx="84">
                  <c:v>1.0930156301247607E-4</c:v>
                </c:pt>
                <c:pt idx="85">
                  <c:v>5.3846153846153211E-3</c:v>
                </c:pt>
                <c:pt idx="86">
                  <c:v>-4.8117154811715412E-2</c:v>
                </c:pt>
                <c:pt idx="87">
                  <c:v>-3.4343434343434454E-2</c:v>
                </c:pt>
                <c:pt idx="88">
                  <c:v>-0.15384615384615385</c:v>
                </c:pt>
                <c:pt idx="89">
                  <c:v>-2.5000000000000022E-2</c:v>
                </c:pt>
                <c:pt idx="90">
                  <c:v>2.564102564102555E-2</c:v>
                </c:pt>
                <c:pt idx="91">
                  <c:v>-8.4745762711864181E-3</c:v>
                </c:pt>
                <c:pt idx="92">
                  <c:v>3.5087719298245723E-2</c:v>
                </c:pt>
                <c:pt idx="93">
                  <c:v>-1.0674303566779564E-2</c:v>
                </c:pt>
                <c:pt idx="94">
                  <c:v>1.9734513274336285E-2</c:v>
                </c:pt>
                <c:pt idx="95">
                  <c:v>2.7272727272727337E-2</c:v>
                </c:pt>
                <c:pt idx="96">
                  <c:v>-3.5087719298245612E-2</c:v>
                </c:pt>
                <c:pt idx="97">
                  <c:v>7.547169811320753E-2</c:v>
                </c:pt>
                <c:pt idx="98">
                  <c:v>1.9230769230769162E-2</c:v>
                </c:pt>
                <c:pt idx="99">
                  <c:v>-1.8867924528301883E-2</c:v>
                </c:pt>
                <c:pt idx="100">
                  <c:v>2.9126213592232997E-2</c:v>
                </c:pt>
                <c:pt idx="101">
                  <c:v>-3.2682193839218665E-2</c:v>
                </c:pt>
                <c:pt idx="102">
                  <c:v>4.5283018867925406E-3</c:v>
                </c:pt>
                <c:pt idx="103">
                  <c:v>9.4348523445697552E-5</c:v>
                </c:pt>
                <c:pt idx="104">
                  <c:v>-9.4339622641603782E-5</c:v>
                </c:pt>
                <c:pt idx="105">
                  <c:v>1.9230769230769162E-2</c:v>
                </c:pt>
                <c:pt idx="106">
                  <c:v>-0.10344827586206895</c:v>
                </c:pt>
                <c:pt idx="107">
                  <c:v>9.1344062635927425E-3</c:v>
                </c:pt>
                <c:pt idx="108">
                  <c:v>2.6339285714285676E-2</c:v>
                </c:pt>
                <c:pt idx="109">
                  <c:v>-2.6086956521739091E-2</c:v>
                </c:pt>
                <c:pt idx="110">
                  <c:v>-7.999999999999996E-2</c:v>
                </c:pt>
                <c:pt idx="111">
                  <c:v>2.0408163265306145E-2</c:v>
                </c:pt>
                <c:pt idx="112">
                  <c:v>-2.0000000000000018E-2</c:v>
                </c:pt>
                <c:pt idx="113">
                  <c:v>-3.0932630436467989E-2</c:v>
                </c:pt>
                <c:pt idx="114">
                  <c:v>-1.9012852688417348E-2</c:v>
                </c:pt>
                <c:pt idx="115">
                  <c:v>-4.0218978102189662E-2</c:v>
                </c:pt>
                <c:pt idx="116">
                  <c:v>-2.8368794326241176E-2</c:v>
                </c:pt>
                <c:pt idx="117">
                  <c:v>1.1405207660856398E-2</c:v>
                </c:pt>
                <c:pt idx="118">
                  <c:v>1.4407334643090852E-2</c:v>
                </c:pt>
                <c:pt idx="119">
                  <c:v>-4.1304347826086607E-3</c:v>
                </c:pt>
                <c:pt idx="120">
                  <c:v>1.098901098901095E-2</c:v>
                </c:pt>
                <c:pt idx="121">
                  <c:v>-0.10197368421052633</c:v>
                </c:pt>
                <c:pt idx="122">
                  <c:v>-1.2987012987012991E-2</c:v>
                </c:pt>
                <c:pt idx="123">
                  <c:v>5.6241426611796985E-2</c:v>
                </c:pt>
                <c:pt idx="124">
                  <c:v>-1.8181818181818077E-2</c:v>
                </c:pt>
                <c:pt idx="125">
                  <c:v>2.2271714922050823E-3</c:v>
                </c:pt>
                <c:pt idx="126">
                  <c:v>7.9591836734693722E-3</c:v>
                </c:pt>
                <c:pt idx="127">
                  <c:v>0</c:v>
                </c:pt>
                <c:pt idx="128">
                  <c:v>-6.7567567567567988E-3</c:v>
                </c:pt>
                <c:pt idx="129">
                  <c:v>6.8027210884353817E-3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-5.1612903225806472E-2</c:v>
                </c:pt>
                <c:pt idx="135">
                  <c:v>3.3677892630876949E-2</c:v>
                </c:pt>
                <c:pt idx="136">
                  <c:v>7.1071428571428452E-2</c:v>
                </c:pt>
                <c:pt idx="137">
                  <c:v>2.1897810218978186E-2</c:v>
                </c:pt>
                <c:pt idx="138">
                  <c:v>-3.8596491228070184E-2</c:v>
                </c:pt>
                <c:pt idx="139">
                  <c:v>-2.9159286006267937E-2</c:v>
                </c:pt>
                <c:pt idx="140">
                  <c:v>2.6641164013936347E-3</c:v>
                </c:pt>
                <c:pt idx="141">
                  <c:v>1.3781163434902988E-2</c:v>
                </c:pt>
                <c:pt idx="142">
                  <c:v>-6.8387096774193523E-2</c:v>
                </c:pt>
                <c:pt idx="143">
                  <c:v>2.9900332225913706E-2</c:v>
                </c:pt>
                <c:pt idx="144">
                  <c:v>6.7563047695498035E-3</c:v>
                </c:pt>
                <c:pt idx="145">
                  <c:v>1.5074353228763382E-2</c:v>
                </c:pt>
                <c:pt idx="146">
                  <c:v>1.5655172413793217E-2</c:v>
                </c:pt>
                <c:pt idx="147">
                  <c:v>-4.6052631578947345E-2</c:v>
                </c:pt>
                <c:pt idx="148">
                  <c:v>-3.1230082855321917E-2</c:v>
                </c:pt>
                <c:pt idx="149">
                  <c:v>6.0135135135135132E-2</c:v>
                </c:pt>
                <c:pt idx="150">
                  <c:v>7.7624948930954396E-3</c:v>
                </c:pt>
                <c:pt idx="151">
                  <c:v>-1.4362416107382425E-2</c:v>
                </c:pt>
                <c:pt idx="152">
                  <c:v>-3.2467532467532423E-2</c:v>
                </c:pt>
                <c:pt idx="153">
                  <c:v>3.3487685390242383E-2</c:v>
                </c:pt>
                <c:pt idx="154">
                  <c:v>3.4791666666666554E-2</c:v>
                </c:pt>
                <c:pt idx="155">
                  <c:v>0</c:v>
                </c:pt>
                <c:pt idx="156">
                  <c:v>-3.3557046979865723E-2</c:v>
                </c:pt>
                <c:pt idx="157">
                  <c:v>1.3605442176870763E-2</c:v>
                </c:pt>
                <c:pt idx="158">
                  <c:v>0</c:v>
                </c:pt>
                <c:pt idx="159">
                  <c:v>3.5211267605633756E-2</c:v>
                </c:pt>
                <c:pt idx="160">
                  <c:v>-1.388888888888884E-2</c:v>
                </c:pt>
                <c:pt idx="161">
                  <c:v>-6.2111801242236142E-3</c:v>
                </c:pt>
                <c:pt idx="162">
                  <c:v>-4.05526153000213E-3</c:v>
                </c:pt>
                <c:pt idx="163">
                  <c:v>3.9214285714285868E-2</c:v>
                </c:pt>
                <c:pt idx="164">
                  <c:v>7.1479628305937126E-4</c:v>
                </c:pt>
                <c:pt idx="165">
                  <c:v>-1.1307420494699572E-2</c:v>
                </c:pt>
                <c:pt idx="166">
                  <c:v>-7.5163398692810413E-2</c:v>
                </c:pt>
                <c:pt idx="167">
                  <c:v>-6.4935064935064402E-3</c:v>
                </c:pt>
                <c:pt idx="168">
                  <c:v>2.6666666666666616E-2</c:v>
                </c:pt>
                <c:pt idx="169">
                  <c:v>4.1232819658475695E-2</c:v>
                </c:pt>
                <c:pt idx="170">
                  <c:v>-6.4827586206895882E-3</c:v>
                </c:pt>
                <c:pt idx="171">
                  <c:v>3.5714285714285809E-2</c:v>
                </c:pt>
                <c:pt idx="172">
                  <c:v>5.5011303692539704E-2</c:v>
                </c:pt>
                <c:pt idx="173">
                  <c:v>8.3088475350963087E-2</c:v>
                </c:pt>
                <c:pt idx="174">
                  <c:v>0.34637362637362634</c:v>
                </c:pt>
                <c:pt idx="175">
                  <c:v>2.2471910112359605E-2</c:v>
                </c:pt>
                <c:pt idx="176">
                  <c:v>5.3379098118120583E-2</c:v>
                </c:pt>
                <c:pt idx="177">
                  <c:v>-0.17158544955387789</c:v>
                </c:pt>
                <c:pt idx="178">
                  <c:v>-0.17081300813008138</c:v>
                </c:pt>
                <c:pt idx="179">
                  <c:v>0.13888888888888884</c:v>
                </c:pt>
                <c:pt idx="180">
                  <c:v>0</c:v>
                </c:pt>
                <c:pt idx="181">
                  <c:v>-9.9999999999999978E-2</c:v>
                </c:pt>
                <c:pt idx="182">
                  <c:v>-8.2644628099173278E-3</c:v>
                </c:pt>
                <c:pt idx="183">
                  <c:v>-5.46875E-2</c:v>
                </c:pt>
                <c:pt idx="184">
                  <c:v>1.1058451816745807E-2</c:v>
                </c:pt>
                <c:pt idx="185">
                  <c:v>4.6821680818982525E-3</c:v>
                </c:pt>
                <c:pt idx="186">
                  <c:v>-5.2556390977443579E-2</c:v>
                </c:pt>
                <c:pt idx="187">
                  <c:v>-8.7941571023998355E-3</c:v>
                </c:pt>
                <c:pt idx="188">
                  <c:v>-4.1571428571428481E-2</c:v>
                </c:pt>
                <c:pt idx="189">
                  <c:v>7.7918078226054899E-2</c:v>
                </c:pt>
                <c:pt idx="190">
                  <c:v>6.8217054263566279E-3</c:v>
                </c:pt>
                <c:pt idx="191">
                  <c:v>3.4482758620689724E-2</c:v>
                </c:pt>
                <c:pt idx="192">
                  <c:v>6.8631408962456231E-3</c:v>
                </c:pt>
                <c:pt idx="193">
                  <c:v>-3.9922480620155132E-2</c:v>
                </c:pt>
                <c:pt idx="194">
                  <c:v>0</c:v>
                </c:pt>
                <c:pt idx="195">
                  <c:v>7.9678607298292459E-2</c:v>
                </c:pt>
                <c:pt idx="196">
                  <c:v>3.2759961967326445E-2</c:v>
                </c:pt>
                <c:pt idx="197">
                  <c:v>5.9820447050201508E-2</c:v>
                </c:pt>
                <c:pt idx="198">
                  <c:v>-1.6576576576576629E-2</c:v>
                </c:pt>
                <c:pt idx="199">
                  <c:v>1.185050136736554E-2</c:v>
                </c:pt>
                <c:pt idx="200">
                  <c:v>-7.6987799747580965E-2</c:v>
                </c:pt>
                <c:pt idx="201">
                  <c:v>7.2033898305083888E-3</c:v>
                </c:pt>
                <c:pt idx="202">
                  <c:v>-2.3986765922249798E-2</c:v>
                </c:pt>
                <c:pt idx="203">
                  <c:v>-3.279999999999994E-2</c:v>
                </c:pt>
                <c:pt idx="204">
                  <c:v>-4.9429657794676785E-2</c:v>
                </c:pt>
                <c:pt idx="205">
                  <c:v>8.3720222239147546E-4</c:v>
                </c:pt>
                <c:pt idx="206">
                  <c:v>-2.6740740740740843E-2</c:v>
                </c:pt>
                <c:pt idx="207">
                  <c:v>-1.4598540145985384E-2</c:v>
                </c:pt>
                <c:pt idx="208">
                  <c:v>-8.666666666666667E-2</c:v>
                </c:pt>
                <c:pt idx="209">
                  <c:v>1.6949152542372836E-2</c:v>
                </c:pt>
                <c:pt idx="210">
                  <c:v>-1.6666666666666718E-2</c:v>
                </c:pt>
                <c:pt idx="211">
                  <c:v>-2.5974025974025983E-2</c:v>
                </c:pt>
                <c:pt idx="212">
                  <c:v>-6.6666666666666652E-2</c:v>
                </c:pt>
                <c:pt idx="213">
                  <c:v>-3.8629610208005594E-2</c:v>
                </c:pt>
                <c:pt idx="214">
                  <c:v>0</c:v>
                </c:pt>
                <c:pt idx="215">
                  <c:v>5.0367197062423541E-2</c:v>
                </c:pt>
                <c:pt idx="216">
                  <c:v>0</c:v>
                </c:pt>
                <c:pt idx="217">
                  <c:v>5.4193548387096779E-2</c:v>
                </c:pt>
                <c:pt idx="218">
                  <c:v>1.9736842105263053E-2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1.3400893392892854E-2</c:v>
                </c:pt>
                <c:pt idx="224">
                  <c:v>-6.6666666666659324E-5</c:v>
                </c:pt>
                <c:pt idx="225">
                  <c:v>0</c:v>
                </c:pt>
                <c:pt idx="226">
                  <c:v>2.8101439342015144E-2</c:v>
                </c:pt>
                <c:pt idx="227">
                  <c:v>-1.41891891891891E-2</c:v>
                </c:pt>
                <c:pt idx="228">
                  <c:v>-4.5161290322580649E-2</c:v>
                </c:pt>
                <c:pt idx="229">
                  <c:v>-3.125E-2</c:v>
                </c:pt>
                <c:pt idx="230">
                  <c:v>-6.2111801242236142E-3</c:v>
                </c:pt>
                <c:pt idx="231">
                  <c:v>2.4906600249066102E-3</c:v>
                </c:pt>
                <c:pt idx="232">
                  <c:v>0.11450381679389321</c:v>
                </c:pt>
                <c:pt idx="233">
                  <c:v>-6.2068965517241281E-3</c:v>
                </c:pt>
                <c:pt idx="234">
                  <c:v>-3.3333333333333326E-2</c:v>
                </c:pt>
                <c:pt idx="235">
                  <c:v>-1.3157894736842146E-2</c:v>
                </c:pt>
                <c:pt idx="236">
                  <c:v>2.3569023569023573E-2</c:v>
                </c:pt>
                <c:pt idx="237">
                  <c:v>-1.3289036544850474E-2</c:v>
                </c:pt>
                <c:pt idx="238">
                  <c:v>-4.8973143759873605E-2</c:v>
                </c:pt>
                <c:pt idx="239">
                  <c:v>-4.7169811320755262E-3</c:v>
                </c:pt>
                <c:pt idx="240">
                  <c:v>-6.2499999999999778E-3</c:v>
                </c:pt>
                <c:pt idx="241">
                  <c:v>-1.2345679012345734E-2</c:v>
                </c:pt>
                <c:pt idx="242">
                  <c:v>-2.4096385542168641E-2</c:v>
                </c:pt>
                <c:pt idx="243">
                  <c:v>0</c:v>
                </c:pt>
                <c:pt idx="244">
                  <c:v>-5.9880239520958556E-3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3-495F-BF8F-4C6AE20D6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572224"/>
        <c:axId val="1929178928"/>
      </c:lineChart>
      <c:dateAx>
        <c:axId val="224572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9178928"/>
        <c:crosses val="autoZero"/>
        <c:auto val="0"/>
        <c:lblOffset val="100"/>
        <c:baseTimeUnit val="months"/>
        <c:majorUnit val="2"/>
        <c:majorTimeUnit val="years"/>
      </c:dateAx>
      <c:valAx>
        <c:axId val="192917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Variación mensual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4572224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GRUPO AEROPORTUARIO — Tasa de crecimiento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GRUPO AEROPORTUARIO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Crecimiento!$A$2:$A$304</c:f>
              <c:numCache>
                <c:formatCode>m/d/yyyy</c:formatCode>
                <c:ptCount val="303"/>
                <c:pt idx="0">
                  <c:v>38776.041250000002</c:v>
                </c:pt>
                <c:pt idx="1">
                  <c:v>38807.041250000002</c:v>
                </c:pt>
                <c:pt idx="2">
                  <c:v>38835.041250000002</c:v>
                </c:pt>
                <c:pt idx="3">
                  <c:v>38868.041250000002</c:v>
                </c:pt>
                <c:pt idx="4">
                  <c:v>38898.041250000002</c:v>
                </c:pt>
                <c:pt idx="5">
                  <c:v>38929.041250000002</c:v>
                </c:pt>
                <c:pt idx="6">
                  <c:v>38960.041250000002</c:v>
                </c:pt>
                <c:pt idx="7">
                  <c:v>38989.041250000002</c:v>
                </c:pt>
                <c:pt idx="8">
                  <c:v>39021.041250000002</c:v>
                </c:pt>
                <c:pt idx="9">
                  <c:v>39051.041250000002</c:v>
                </c:pt>
                <c:pt idx="10">
                  <c:v>39080.041250000002</c:v>
                </c:pt>
                <c:pt idx="11">
                  <c:v>39113.041250000002</c:v>
                </c:pt>
                <c:pt idx="12">
                  <c:v>39141.041250000002</c:v>
                </c:pt>
                <c:pt idx="13">
                  <c:v>39171.041250000002</c:v>
                </c:pt>
                <c:pt idx="14">
                  <c:v>39202.041250000002</c:v>
                </c:pt>
                <c:pt idx="15">
                  <c:v>39233.041250000002</c:v>
                </c:pt>
                <c:pt idx="16">
                  <c:v>39262.041250000002</c:v>
                </c:pt>
                <c:pt idx="17">
                  <c:v>39294.041250000002</c:v>
                </c:pt>
                <c:pt idx="18">
                  <c:v>39325.041250000002</c:v>
                </c:pt>
                <c:pt idx="19">
                  <c:v>39353.041250000002</c:v>
                </c:pt>
                <c:pt idx="20">
                  <c:v>39386.041250000002</c:v>
                </c:pt>
                <c:pt idx="21">
                  <c:v>39416.041250000002</c:v>
                </c:pt>
                <c:pt idx="22">
                  <c:v>39447.041250000002</c:v>
                </c:pt>
                <c:pt idx="23">
                  <c:v>39478.041250000002</c:v>
                </c:pt>
                <c:pt idx="24">
                  <c:v>39507.041250000002</c:v>
                </c:pt>
                <c:pt idx="25">
                  <c:v>39538.041250000002</c:v>
                </c:pt>
                <c:pt idx="26">
                  <c:v>39568.041250000002</c:v>
                </c:pt>
                <c:pt idx="27">
                  <c:v>39598.041250000002</c:v>
                </c:pt>
                <c:pt idx="28">
                  <c:v>39629.041250000002</c:v>
                </c:pt>
                <c:pt idx="29">
                  <c:v>39660.041250000002</c:v>
                </c:pt>
                <c:pt idx="30">
                  <c:v>39689.041250000002</c:v>
                </c:pt>
                <c:pt idx="31">
                  <c:v>39721.041250000002</c:v>
                </c:pt>
                <c:pt idx="32">
                  <c:v>39752.041250000002</c:v>
                </c:pt>
                <c:pt idx="33">
                  <c:v>39780.041250000002</c:v>
                </c:pt>
                <c:pt idx="34">
                  <c:v>39813.041250000002</c:v>
                </c:pt>
                <c:pt idx="35">
                  <c:v>39843.041250000002</c:v>
                </c:pt>
                <c:pt idx="36">
                  <c:v>39871.041250000002</c:v>
                </c:pt>
                <c:pt idx="37">
                  <c:v>39903.041250000002</c:v>
                </c:pt>
                <c:pt idx="38">
                  <c:v>39933.041250000002</c:v>
                </c:pt>
                <c:pt idx="39">
                  <c:v>39962.041250000002</c:v>
                </c:pt>
                <c:pt idx="40">
                  <c:v>39994.041250000002</c:v>
                </c:pt>
                <c:pt idx="41">
                  <c:v>40025.041250000002</c:v>
                </c:pt>
                <c:pt idx="42">
                  <c:v>40056.041250000002</c:v>
                </c:pt>
                <c:pt idx="43">
                  <c:v>40086.041250000002</c:v>
                </c:pt>
                <c:pt idx="44">
                  <c:v>40116.041250000002</c:v>
                </c:pt>
                <c:pt idx="45">
                  <c:v>40147.041250000002</c:v>
                </c:pt>
                <c:pt idx="46">
                  <c:v>40178.041250000002</c:v>
                </c:pt>
                <c:pt idx="47">
                  <c:v>40207.041250000002</c:v>
                </c:pt>
                <c:pt idx="48">
                  <c:v>40235.041250000002</c:v>
                </c:pt>
                <c:pt idx="49">
                  <c:v>40268.041250000002</c:v>
                </c:pt>
                <c:pt idx="50">
                  <c:v>40298.041250000002</c:v>
                </c:pt>
                <c:pt idx="51">
                  <c:v>40329.041250000002</c:v>
                </c:pt>
                <c:pt idx="52">
                  <c:v>40359.041250000002</c:v>
                </c:pt>
                <c:pt idx="53">
                  <c:v>40389.041250000002</c:v>
                </c:pt>
                <c:pt idx="54">
                  <c:v>40421.041250000002</c:v>
                </c:pt>
                <c:pt idx="55">
                  <c:v>40451.041250000002</c:v>
                </c:pt>
                <c:pt idx="56">
                  <c:v>40480.041250000002</c:v>
                </c:pt>
                <c:pt idx="57">
                  <c:v>40512.041250000002</c:v>
                </c:pt>
                <c:pt idx="58">
                  <c:v>40543.041250000002</c:v>
                </c:pt>
                <c:pt idx="59">
                  <c:v>40574.041250000002</c:v>
                </c:pt>
                <c:pt idx="60">
                  <c:v>40602.041250000002</c:v>
                </c:pt>
                <c:pt idx="61">
                  <c:v>40633.041250000002</c:v>
                </c:pt>
                <c:pt idx="62">
                  <c:v>40662.041250000002</c:v>
                </c:pt>
                <c:pt idx="63">
                  <c:v>40694.041250000002</c:v>
                </c:pt>
                <c:pt idx="64">
                  <c:v>40724.041250000002</c:v>
                </c:pt>
                <c:pt idx="65">
                  <c:v>40753.041250000002</c:v>
                </c:pt>
                <c:pt idx="66">
                  <c:v>40786.041250000002</c:v>
                </c:pt>
                <c:pt idx="67">
                  <c:v>40816.041250000002</c:v>
                </c:pt>
                <c:pt idx="68">
                  <c:v>40847.041250000002</c:v>
                </c:pt>
                <c:pt idx="69">
                  <c:v>40877.041250000002</c:v>
                </c:pt>
                <c:pt idx="70">
                  <c:v>40907.041250000002</c:v>
                </c:pt>
                <c:pt idx="71">
                  <c:v>40939.041250000002</c:v>
                </c:pt>
                <c:pt idx="72">
                  <c:v>40968.041250000002</c:v>
                </c:pt>
                <c:pt idx="73">
                  <c:v>40998.041250000002</c:v>
                </c:pt>
                <c:pt idx="74">
                  <c:v>41029.041250000002</c:v>
                </c:pt>
                <c:pt idx="75">
                  <c:v>41060.041250000002</c:v>
                </c:pt>
                <c:pt idx="76">
                  <c:v>41089.041250000002</c:v>
                </c:pt>
                <c:pt idx="77">
                  <c:v>41121.041250000002</c:v>
                </c:pt>
                <c:pt idx="78">
                  <c:v>41152.041250000002</c:v>
                </c:pt>
                <c:pt idx="79">
                  <c:v>41180.041250000002</c:v>
                </c:pt>
                <c:pt idx="80">
                  <c:v>41213.041250000002</c:v>
                </c:pt>
                <c:pt idx="81">
                  <c:v>41243.041250000002</c:v>
                </c:pt>
                <c:pt idx="82">
                  <c:v>41274.041250000002</c:v>
                </c:pt>
                <c:pt idx="83">
                  <c:v>41305.041250000002</c:v>
                </c:pt>
                <c:pt idx="84">
                  <c:v>41333.041250000002</c:v>
                </c:pt>
                <c:pt idx="85">
                  <c:v>41360.041250000002</c:v>
                </c:pt>
                <c:pt idx="86">
                  <c:v>41394.041250000002</c:v>
                </c:pt>
                <c:pt idx="87">
                  <c:v>41425.041250000002</c:v>
                </c:pt>
                <c:pt idx="88">
                  <c:v>41453.041250000002</c:v>
                </c:pt>
                <c:pt idx="89">
                  <c:v>41486.041250000002</c:v>
                </c:pt>
                <c:pt idx="90">
                  <c:v>41516.041250000002</c:v>
                </c:pt>
                <c:pt idx="91">
                  <c:v>41547.041250000002</c:v>
                </c:pt>
                <c:pt idx="92">
                  <c:v>41578.041250000002</c:v>
                </c:pt>
                <c:pt idx="93">
                  <c:v>41607.041250000002</c:v>
                </c:pt>
                <c:pt idx="94">
                  <c:v>41639.041250000002</c:v>
                </c:pt>
                <c:pt idx="95">
                  <c:v>41670.041250000002</c:v>
                </c:pt>
                <c:pt idx="96">
                  <c:v>41698.041250000002</c:v>
                </c:pt>
                <c:pt idx="97">
                  <c:v>41729.041250000002</c:v>
                </c:pt>
                <c:pt idx="98">
                  <c:v>41759.041250000002</c:v>
                </c:pt>
                <c:pt idx="99">
                  <c:v>41789.041250000002</c:v>
                </c:pt>
                <c:pt idx="100">
                  <c:v>41820.041250000002</c:v>
                </c:pt>
                <c:pt idx="101">
                  <c:v>41851.041250000002</c:v>
                </c:pt>
                <c:pt idx="102">
                  <c:v>41880.041250000002</c:v>
                </c:pt>
                <c:pt idx="103">
                  <c:v>41912.041250000002</c:v>
                </c:pt>
                <c:pt idx="104">
                  <c:v>41943.041250000002</c:v>
                </c:pt>
                <c:pt idx="105">
                  <c:v>41971.041250000002</c:v>
                </c:pt>
                <c:pt idx="106">
                  <c:v>42004.041250000002</c:v>
                </c:pt>
                <c:pt idx="107">
                  <c:v>42034.041250000002</c:v>
                </c:pt>
                <c:pt idx="108">
                  <c:v>42062.041250000002</c:v>
                </c:pt>
                <c:pt idx="109">
                  <c:v>42094.041250000002</c:v>
                </c:pt>
                <c:pt idx="110">
                  <c:v>42124.041250000002</c:v>
                </c:pt>
                <c:pt idx="111">
                  <c:v>42153.041250000002</c:v>
                </c:pt>
                <c:pt idx="112">
                  <c:v>42185.041250000002</c:v>
                </c:pt>
                <c:pt idx="113">
                  <c:v>42216.041250000002</c:v>
                </c:pt>
                <c:pt idx="114">
                  <c:v>42247.041250000002</c:v>
                </c:pt>
                <c:pt idx="115">
                  <c:v>42277.041250000002</c:v>
                </c:pt>
                <c:pt idx="116">
                  <c:v>42307.041250000002</c:v>
                </c:pt>
                <c:pt idx="117">
                  <c:v>42338.041250000002</c:v>
                </c:pt>
                <c:pt idx="118">
                  <c:v>42369.041250000002</c:v>
                </c:pt>
                <c:pt idx="119">
                  <c:v>42398.041250000002</c:v>
                </c:pt>
                <c:pt idx="120">
                  <c:v>42429.041250000002</c:v>
                </c:pt>
                <c:pt idx="121">
                  <c:v>42460.041250000002</c:v>
                </c:pt>
                <c:pt idx="122">
                  <c:v>42489.041250000002</c:v>
                </c:pt>
                <c:pt idx="123">
                  <c:v>42521.041250000002</c:v>
                </c:pt>
                <c:pt idx="124">
                  <c:v>42551.041250000002</c:v>
                </c:pt>
                <c:pt idx="125">
                  <c:v>42580.041250000002</c:v>
                </c:pt>
                <c:pt idx="126">
                  <c:v>42613.041250000002</c:v>
                </c:pt>
                <c:pt idx="127">
                  <c:v>42643.041250000002</c:v>
                </c:pt>
                <c:pt idx="128">
                  <c:v>42674.041250000002</c:v>
                </c:pt>
                <c:pt idx="129">
                  <c:v>42704.041250000002</c:v>
                </c:pt>
                <c:pt idx="130">
                  <c:v>42734.041250000002</c:v>
                </c:pt>
                <c:pt idx="131">
                  <c:v>42766.041250000002</c:v>
                </c:pt>
                <c:pt idx="132">
                  <c:v>42794.041250000002</c:v>
                </c:pt>
                <c:pt idx="133">
                  <c:v>42825.041250000002</c:v>
                </c:pt>
                <c:pt idx="134">
                  <c:v>42853.041250000002</c:v>
                </c:pt>
                <c:pt idx="135">
                  <c:v>42886.041250000002</c:v>
                </c:pt>
                <c:pt idx="136">
                  <c:v>42916.041250000002</c:v>
                </c:pt>
                <c:pt idx="137">
                  <c:v>42947.041250000002</c:v>
                </c:pt>
                <c:pt idx="138">
                  <c:v>42978.041250000002</c:v>
                </c:pt>
                <c:pt idx="139">
                  <c:v>43007.041250000002</c:v>
                </c:pt>
                <c:pt idx="140">
                  <c:v>43039.041250000002</c:v>
                </c:pt>
                <c:pt idx="141">
                  <c:v>43069.041250000002</c:v>
                </c:pt>
                <c:pt idx="142">
                  <c:v>43098.041250000002</c:v>
                </c:pt>
                <c:pt idx="143">
                  <c:v>43131.041250000002</c:v>
                </c:pt>
                <c:pt idx="144">
                  <c:v>43159.041250000002</c:v>
                </c:pt>
                <c:pt idx="145">
                  <c:v>43187.041250000002</c:v>
                </c:pt>
                <c:pt idx="146">
                  <c:v>43220.041250000002</c:v>
                </c:pt>
                <c:pt idx="147">
                  <c:v>43251.041250000002</c:v>
                </c:pt>
                <c:pt idx="148">
                  <c:v>43280.041250000002</c:v>
                </c:pt>
                <c:pt idx="149">
                  <c:v>43312.041250000002</c:v>
                </c:pt>
                <c:pt idx="150">
                  <c:v>43343.041250000002</c:v>
                </c:pt>
                <c:pt idx="151">
                  <c:v>43371.041250000002</c:v>
                </c:pt>
                <c:pt idx="152">
                  <c:v>43404.041250000002</c:v>
                </c:pt>
                <c:pt idx="153">
                  <c:v>43434.041250000002</c:v>
                </c:pt>
                <c:pt idx="154">
                  <c:v>43465.041250000002</c:v>
                </c:pt>
                <c:pt idx="155">
                  <c:v>43496.041250000002</c:v>
                </c:pt>
                <c:pt idx="156">
                  <c:v>43524.041250000002</c:v>
                </c:pt>
                <c:pt idx="157">
                  <c:v>43553.041250000002</c:v>
                </c:pt>
                <c:pt idx="158">
                  <c:v>43585.041250000002</c:v>
                </c:pt>
                <c:pt idx="159">
                  <c:v>43616.041250000002</c:v>
                </c:pt>
                <c:pt idx="160">
                  <c:v>43644.041250000002</c:v>
                </c:pt>
                <c:pt idx="161">
                  <c:v>43677.041250000002</c:v>
                </c:pt>
                <c:pt idx="162">
                  <c:v>43707.041250000002</c:v>
                </c:pt>
                <c:pt idx="163">
                  <c:v>43738.041250000002</c:v>
                </c:pt>
                <c:pt idx="164">
                  <c:v>43769.041250000002</c:v>
                </c:pt>
                <c:pt idx="165">
                  <c:v>43798.041250000002</c:v>
                </c:pt>
                <c:pt idx="166">
                  <c:v>43830.041250000002</c:v>
                </c:pt>
                <c:pt idx="167">
                  <c:v>43861.041250000002</c:v>
                </c:pt>
                <c:pt idx="168">
                  <c:v>43889.041250000002</c:v>
                </c:pt>
                <c:pt idx="169">
                  <c:v>43921.041250000002</c:v>
                </c:pt>
                <c:pt idx="170">
                  <c:v>43951.041250000002</c:v>
                </c:pt>
                <c:pt idx="171">
                  <c:v>43980.041250000002</c:v>
                </c:pt>
                <c:pt idx="172">
                  <c:v>44012.041250000002</c:v>
                </c:pt>
                <c:pt idx="173">
                  <c:v>44043.041250000002</c:v>
                </c:pt>
                <c:pt idx="174">
                  <c:v>44074.041250000002</c:v>
                </c:pt>
                <c:pt idx="175">
                  <c:v>44104.041250000002</c:v>
                </c:pt>
                <c:pt idx="176">
                  <c:v>44134.041250000002</c:v>
                </c:pt>
                <c:pt idx="177">
                  <c:v>44165.041250000002</c:v>
                </c:pt>
                <c:pt idx="178">
                  <c:v>44196.041250000002</c:v>
                </c:pt>
                <c:pt idx="179">
                  <c:v>44225.041250000002</c:v>
                </c:pt>
                <c:pt idx="180">
                  <c:v>44253.041250000002</c:v>
                </c:pt>
                <c:pt idx="181">
                  <c:v>44286.041250000002</c:v>
                </c:pt>
                <c:pt idx="182">
                  <c:v>44316.041250000002</c:v>
                </c:pt>
                <c:pt idx="183">
                  <c:v>44347.041250000002</c:v>
                </c:pt>
                <c:pt idx="184">
                  <c:v>44377.041250000002</c:v>
                </c:pt>
                <c:pt idx="185">
                  <c:v>44407.041250000002</c:v>
                </c:pt>
                <c:pt idx="186">
                  <c:v>44439.041250000002</c:v>
                </c:pt>
                <c:pt idx="187">
                  <c:v>44469.041250000002</c:v>
                </c:pt>
                <c:pt idx="188">
                  <c:v>44498.041250000002</c:v>
                </c:pt>
                <c:pt idx="189">
                  <c:v>44530.041250000002</c:v>
                </c:pt>
                <c:pt idx="190">
                  <c:v>44561.041250000002</c:v>
                </c:pt>
                <c:pt idx="191">
                  <c:v>44592.041250000002</c:v>
                </c:pt>
                <c:pt idx="192">
                  <c:v>44620.041250000002</c:v>
                </c:pt>
                <c:pt idx="193">
                  <c:v>44651.041250000002</c:v>
                </c:pt>
                <c:pt idx="194">
                  <c:v>44680.041250000002</c:v>
                </c:pt>
                <c:pt idx="195">
                  <c:v>44712.041250000002</c:v>
                </c:pt>
                <c:pt idx="196">
                  <c:v>44742.041250000002</c:v>
                </c:pt>
                <c:pt idx="197">
                  <c:v>44771.041250000002</c:v>
                </c:pt>
                <c:pt idx="198">
                  <c:v>44804.041250000002</c:v>
                </c:pt>
                <c:pt idx="199">
                  <c:v>44834.041250000002</c:v>
                </c:pt>
                <c:pt idx="200">
                  <c:v>44865.041250000002</c:v>
                </c:pt>
                <c:pt idx="201">
                  <c:v>44895.041250000002</c:v>
                </c:pt>
                <c:pt idx="202">
                  <c:v>44925.041250000002</c:v>
                </c:pt>
                <c:pt idx="203">
                  <c:v>44957.041250000002</c:v>
                </c:pt>
                <c:pt idx="204">
                  <c:v>44985.041250000002</c:v>
                </c:pt>
                <c:pt idx="205">
                  <c:v>45016.041250000002</c:v>
                </c:pt>
                <c:pt idx="206">
                  <c:v>45044.041250000002</c:v>
                </c:pt>
                <c:pt idx="207">
                  <c:v>45077.041250000002</c:v>
                </c:pt>
                <c:pt idx="208">
                  <c:v>45107.041250000002</c:v>
                </c:pt>
                <c:pt idx="209">
                  <c:v>45138.041250000002</c:v>
                </c:pt>
                <c:pt idx="210">
                  <c:v>45169.041250000002</c:v>
                </c:pt>
                <c:pt idx="211">
                  <c:v>45198.041250000002</c:v>
                </c:pt>
                <c:pt idx="212">
                  <c:v>45230.041250000002</c:v>
                </c:pt>
                <c:pt idx="213">
                  <c:v>45260.041250000002</c:v>
                </c:pt>
                <c:pt idx="214">
                  <c:v>45289.041250000002</c:v>
                </c:pt>
                <c:pt idx="215">
                  <c:v>45322.041250000002</c:v>
                </c:pt>
                <c:pt idx="216">
                  <c:v>45351.041250000002</c:v>
                </c:pt>
                <c:pt idx="217">
                  <c:v>45378.041250000002</c:v>
                </c:pt>
                <c:pt idx="218">
                  <c:v>45412.041250000002</c:v>
                </c:pt>
                <c:pt idx="219">
                  <c:v>45443.041250000002</c:v>
                </c:pt>
                <c:pt idx="220">
                  <c:v>45471.041250000002</c:v>
                </c:pt>
                <c:pt idx="221">
                  <c:v>45504.041250000002</c:v>
                </c:pt>
                <c:pt idx="222">
                  <c:v>45534.041250000002</c:v>
                </c:pt>
                <c:pt idx="223">
                  <c:v>45565.041250000002</c:v>
                </c:pt>
                <c:pt idx="224">
                  <c:v>45596.041250000002</c:v>
                </c:pt>
                <c:pt idx="225">
                  <c:v>45625.041250000002</c:v>
                </c:pt>
                <c:pt idx="226">
                  <c:v>45657.041250000002</c:v>
                </c:pt>
                <c:pt idx="227">
                  <c:v>45688.041250000002</c:v>
                </c:pt>
                <c:pt idx="228">
                  <c:v>45716.041250000002</c:v>
                </c:pt>
                <c:pt idx="229">
                  <c:v>45747.041250000002</c:v>
                </c:pt>
                <c:pt idx="230">
                  <c:v>45777.041250000002</c:v>
                </c:pt>
                <c:pt idx="231">
                  <c:v>45807.041250000002</c:v>
                </c:pt>
                <c:pt idx="232">
                  <c:v>45838.041250000002</c:v>
                </c:pt>
                <c:pt idx="233">
                  <c:v>45869.041250000002</c:v>
                </c:pt>
                <c:pt idx="234">
                  <c:v>45898.041250000002</c:v>
                </c:pt>
                <c:pt idx="235">
                  <c:v>45930.041250000002</c:v>
                </c:pt>
                <c:pt idx="236">
                  <c:v>45961.041250000002</c:v>
                </c:pt>
                <c:pt idx="237">
                  <c:v>45989.041250000002</c:v>
                </c:pt>
                <c:pt idx="238">
                  <c:v>46022.041250000002</c:v>
                </c:pt>
                <c:pt idx="239">
                  <c:v>46052.041250000002</c:v>
                </c:pt>
                <c:pt idx="240">
                  <c:v>46080.041250000002</c:v>
                </c:pt>
                <c:pt idx="241">
                  <c:v>46112.041250000002</c:v>
                </c:pt>
                <c:pt idx="242">
                  <c:v>46142.041250000002</c:v>
                </c:pt>
                <c:pt idx="243">
                  <c:v>46171.041250000002</c:v>
                </c:pt>
                <c:pt idx="244">
                  <c:v>46203.041250000002</c:v>
                </c:pt>
                <c:pt idx="245">
                  <c:v>46209.041250000002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</c:numCache>
            </c:numRef>
          </c:cat>
          <c:val>
            <c:numRef>
              <c:f>Crecimiento!$E$2:$E$304</c:f>
              <c:numCache>
                <c:formatCode>0.0%</c:formatCode>
                <c:ptCount val="303"/>
                <c:pt idx="0">
                  <c:v>-0.1358273335359087</c:v>
                </c:pt>
                <c:pt idx="1">
                  <c:v>-5.3391454796766769E-2</c:v>
                </c:pt>
                <c:pt idx="2">
                  <c:v>-5.0195694025087279E-2</c:v>
                </c:pt>
                <c:pt idx="3">
                  <c:v>2.1851949585956376E-2</c:v>
                </c:pt>
                <c:pt idx="4">
                  <c:v>0.12335074382241418</c:v>
                </c:pt>
                <c:pt idx="5">
                  <c:v>-0.11775853643444489</c:v>
                </c:pt>
                <c:pt idx="6">
                  <c:v>-1.6506930090722682E-2</c:v>
                </c:pt>
                <c:pt idx="7">
                  <c:v>-7.533235078065148E-2</c:v>
                </c:pt>
                <c:pt idx="8">
                  <c:v>-6.1893756592715565E-2</c:v>
                </c:pt>
                <c:pt idx="9">
                  <c:v>2.1467321397721451E-2</c:v>
                </c:pt>
                <c:pt idx="10">
                  <c:v>-5.4427834335314618E-2</c:v>
                </c:pt>
                <c:pt idx="11">
                  <c:v>-3.2167527738889534E-2</c:v>
                </c:pt>
                <c:pt idx="12">
                  <c:v>-2.9134342177057126E-2</c:v>
                </c:pt>
                <c:pt idx="13">
                  <c:v>-4.0233359783578337E-2</c:v>
                </c:pt>
                <c:pt idx="14">
                  <c:v>-8.454132525071778E-2</c:v>
                </c:pt>
                <c:pt idx="15">
                  <c:v>-8.2536122675038737E-3</c:v>
                </c:pt>
                <c:pt idx="16">
                  <c:v>-3.7501253806326851E-4</c:v>
                </c:pt>
                <c:pt idx="17">
                  <c:v>-4.2893038566603536E-2</c:v>
                </c:pt>
                <c:pt idx="18">
                  <c:v>-6.7603758910547374E-2</c:v>
                </c:pt>
                <c:pt idx="19">
                  <c:v>6.6000713417032175E-2</c:v>
                </c:pt>
                <c:pt idx="20">
                  <c:v>0.1194089535300995</c:v>
                </c:pt>
                <c:pt idx="21">
                  <c:v>2.5179117838138421E-2</c:v>
                </c:pt>
                <c:pt idx="22">
                  <c:v>5.3710084119149348E-2</c:v>
                </c:pt>
                <c:pt idx="23">
                  <c:v>-5.599672190845606E-2</c:v>
                </c:pt>
                <c:pt idx="24">
                  <c:v>2.0573563508972104E-2</c:v>
                </c:pt>
                <c:pt idx="25">
                  <c:v>0.12193983115251106</c:v>
                </c:pt>
                <c:pt idx="26">
                  <c:v>0.17378217913045946</c:v>
                </c:pt>
                <c:pt idx="27">
                  <c:v>0.20157838991891142</c:v>
                </c:pt>
                <c:pt idx="28">
                  <c:v>1.4004690041743206E-2</c:v>
                </c:pt>
                <c:pt idx="29">
                  <c:v>2.2502540536742943E-2</c:v>
                </c:pt>
                <c:pt idx="30">
                  <c:v>6.383751468859411E-2</c:v>
                </c:pt>
                <c:pt idx="31">
                  <c:v>0.18224698809138018</c:v>
                </c:pt>
                <c:pt idx="32">
                  <c:v>-0.21162945772513408</c:v>
                </c:pt>
                <c:pt idx="33">
                  <c:v>-5.9758433391305932E-2</c:v>
                </c:pt>
                <c:pt idx="34">
                  <c:v>0.17563528538376105</c:v>
                </c:pt>
                <c:pt idx="35">
                  <c:v>3.5603721615809159E-2</c:v>
                </c:pt>
                <c:pt idx="36">
                  <c:v>2.7163259425941888E-3</c:v>
                </c:pt>
                <c:pt idx="37">
                  <c:v>-8.0955780539773925E-2</c:v>
                </c:pt>
                <c:pt idx="38">
                  <c:v>1.6678733992947947E-2</c:v>
                </c:pt>
                <c:pt idx="39">
                  <c:v>-0.18014266644296661</c:v>
                </c:pt>
                <c:pt idx="40">
                  <c:v>-9.2772398664537792E-2</c:v>
                </c:pt>
                <c:pt idx="41">
                  <c:v>6.3073405069322463E-2</c:v>
                </c:pt>
                <c:pt idx="42">
                  <c:v>-9.9870976021084745E-2</c:v>
                </c:pt>
                <c:pt idx="43">
                  <c:v>0.17388671254797128</c:v>
                </c:pt>
                <c:pt idx="44">
                  <c:v>-9.8826099427509528E-2</c:v>
                </c:pt>
                <c:pt idx="45">
                  <c:v>-9.9557517735297973E-2</c:v>
                </c:pt>
                <c:pt idx="46">
                  <c:v>-1.5250540283194502E-2</c:v>
                </c:pt>
                <c:pt idx="47">
                  <c:v>-5.2088116190564082E-2</c:v>
                </c:pt>
                <c:pt idx="48">
                  <c:v>-5.3020434659799442E-2</c:v>
                </c:pt>
                <c:pt idx="49">
                  <c:v>5.5746733542041627E-2</c:v>
                </c:pt>
                <c:pt idx="50">
                  <c:v>-4.533508655826668E-2</c:v>
                </c:pt>
                <c:pt idx="51">
                  <c:v>0.21597869145695214</c:v>
                </c:pt>
                <c:pt idx="52">
                  <c:v>-8.4816000993281238E-2</c:v>
                </c:pt>
                <c:pt idx="53">
                  <c:v>0.11981442162215239</c:v>
                </c:pt>
                <c:pt idx="54">
                  <c:v>-0.15770113665655838</c:v>
                </c:pt>
                <c:pt idx="55">
                  <c:v>-5.3318839653872074E-2</c:v>
                </c:pt>
                <c:pt idx="56">
                  <c:v>-3.8099219510423055E-2</c:v>
                </c:pt>
                <c:pt idx="57">
                  <c:v>-5.124130783952674E-2</c:v>
                </c:pt>
                <c:pt idx="58">
                  <c:v>6.3582585682677273E-2</c:v>
                </c:pt>
                <c:pt idx="59">
                  <c:v>2.8906770714265395E-2</c:v>
                </c:pt>
                <c:pt idx="60">
                  <c:v>-9.0172052834134542E-2</c:v>
                </c:pt>
                <c:pt idx="61">
                  <c:v>5.6182137683842504E-2</c:v>
                </c:pt>
                <c:pt idx="62">
                  <c:v>1.2690357527253671E-2</c:v>
                </c:pt>
                <c:pt idx="63">
                  <c:v>-1.6434387294360531E-2</c:v>
                </c:pt>
                <c:pt idx="64">
                  <c:v>-6.2369464384837148E-4</c:v>
                </c:pt>
                <c:pt idx="65">
                  <c:v>4.5948333826075771E-3</c:v>
                </c:pt>
                <c:pt idx="66">
                  <c:v>3.2341519213143766E-2</c:v>
                </c:pt>
                <c:pt idx="67">
                  <c:v>-4.7210433019581055E-3</c:v>
                </c:pt>
                <c:pt idx="68">
                  <c:v>-1.4590806472075113E-2</c:v>
                </c:pt>
                <c:pt idx="69">
                  <c:v>1.2703668122266976E-3</c:v>
                </c:pt>
                <c:pt idx="70">
                  <c:v>-3.3162736479919852E-2</c:v>
                </c:pt>
                <c:pt idx="71">
                  <c:v>1.6649326356514393E-2</c:v>
                </c:pt>
                <c:pt idx="72">
                  <c:v>1.6285965010484516E-2</c:v>
                </c:pt>
                <c:pt idx="73">
                  <c:v>-6.4688432366122983E-2</c:v>
                </c:pt>
                <c:pt idx="74">
                  <c:v>-4.3332798690394192E-3</c:v>
                </c:pt>
                <c:pt idx="75">
                  <c:v>-3.8264817952173957E-2</c:v>
                </c:pt>
                <c:pt idx="76">
                  <c:v>9.7551604339669584E-3</c:v>
                </c:pt>
                <c:pt idx="77">
                  <c:v>4.4188456708240675E-3</c:v>
                </c:pt>
                <c:pt idx="78">
                  <c:v>-6.9502080240847919E-2</c:v>
                </c:pt>
                <c:pt idx="79">
                  <c:v>-0.13518252022542121</c:v>
                </c:pt>
                <c:pt idx="80">
                  <c:v>-5.37034310892327E-2</c:v>
                </c:pt>
                <c:pt idx="81">
                  <c:v>-9.895336941842936E-2</c:v>
                </c:pt>
                <c:pt idx="82">
                  <c:v>-7.1320382120875436E-2</c:v>
                </c:pt>
                <c:pt idx="83">
                  <c:v>3.4198874067441487E-3</c:v>
                </c:pt>
                <c:pt idx="84">
                  <c:v>8.4180177702706915E-2</c:v>
                </c:pt>
                <c:pt idx="85">
                  <c:v>4.7619043734023592E-2</c:v>
                </c:pt>
                <c:pt idx="86">
                  <c:v>2.5070055478201736E-2</c:v>
                </c:pt>
                <c:pt idx="87">
                  <c:v>3.3216503475905546E-2</c:v>
                </c:pt>
                <c:pt idx="88">
                  <c:v>-1.2934266061402022E-2</c:v>
                </c:pt>
                <c:pt idx="89">
                  <c:v>-2.1011583972986303E-3</c:v>
                </c:pt>
                <c:pt idx="90">
                  <c:v>-2.0967527875719316E-3</c:v>
                </c:pt>
                <c:pt idx="91">
                  <c:v>-1.6352387704217874E-2</c:v>
                </c:pt>
                <c:pt idx="92">
                  <c:v>-1.4947036600643338E-2</c:v>
                </c:pt>
                <c:pt idx="93">
                  <c:v>-1.2750701836040212E-2</c:v>
                </c:pt>
                <c:pt idx="94">
                  <c:v>-3.7772277196761239E-2</c:v>
                </c:pt>
                <c:pt idx="95">
                  <c:v>2.0396692343063405E-2</c:v>
                </c:pt>
                <c:pt idx="96">
                  <c:v>-6.7305167751434913E-2</c:v>
                </c:pt>
                <c:pt idx="97">
                  <c:v>-3.126589520290779E-2</c:v>
                </c:pt>
                <c:pt idx="98">
                  <c:v>-4.0434436128700679E-2</c:v>
                </c:pt>
                <c:pt idx="99">
                  <c:v>-9.76027399183933E-2</c:v>
                </c:pt>
                <c:pt idx="100">
                  <c:v>-1.3402414385303318E-2</c:v>
                </c:pt>
                <c:pt idx="101">
                  <c:v>-2.1813366599604755E-2</c:v>
                </c:pt>
                <c:pt idx="102">
                  <c:v>8.8212194831349677E-4</c:v>
                </c:pt>
                <c:pt idx="103">
                  <c:v>-1.0160568086883925E-2</c:v>
                </c:pt>
                <c:pt idx="104">
                  <c:v>-3.4247704087871811E-2</c:v>
                </c:pt>
                <c:pt idx="105">
                  <c:v>2.3188097808435559E-2</c:v>
                </c:pt>
                <c:pt idx="106">
                  <c:v>-6.4379416950506196E-2</c:v>
                </c:pt>
                <c:pt idx="107">
                  <c:v>-2.2200290468428419E-2</c:v>
                </c:pt>
                <c:pt idx="108">
                  <c:v>1.3499996588408392E-2</c:v>
                </c:pt>
                <c:pt idx="109">
                  <c:v>-8.4500597112844078E-2</c:v>
                </c:pt>
                <c:pt idx="110">
                  <c:v>-2.7063968327798227E-2</c:v>
                </c:pt>
                <c:pt idx="111">
                  <c:v>1.7081328121892669E-2</c:v>
                </c:pt>
                <c:pt idx="112">
                  <c:v>-0.15307807553094988</c:v>
                </c:pt>
                <c:pt idx="113">
                  <c:v>-9.3959252045422992E-2</c:v>
                </c:pt>
                <c:pt idx="114">
                  <c:v>-4.5163924903895647E-2</c:v>
                </c:pt>
                <c:pt idx="115">
                  <c:v>-1.1763124010995107E-2</c:v>
                </c:pt>
                <c:pt idx="116">
                  <c:v>-1.3461535358929577E-2</c:v>
                </c:pt>
                <c:pt idx="117">
                  <c:v>-8.220983753257971E-3</c:v>
                </c:pt>
                <c:pt idx="118">
                  <c:v>-1.9036381546215786E-3</c:v>
                </c:pt>
                <c:pt idx="119">
                  <c:v>6.2787781254566966E-2</c:v>
                </c:pt>
                <c:pt idx="120">
                  <c:v>-7.0066171261286669E-2</c:v>
                </c:pt>
                <c:pt idx="121">
                  <c:v>-4.910549167903655E-2</c:v>
                </c:pt>
                <c:pt idx="122">
                  <c:v>-0.14800349976601357</c:v>
                </c:pt>
                <c:pt idx="123">
                  <c:v>-6.5488271339753101E-3</c:v>
                </c:pt>
                <c:pt idx="124">
                  <c:v>1.8160134252225513E-2</c:v>
                </c:pt>
                <c:pt idx="125">
                  <c:v>-1.2208835167626608E-2</c:v>
                </c:pt>
                <c:pt idx="126">
                  <c:v>1.4339258051844439E-2</c:v>
                </c:pt>
                <c:pt idx="127">
                  <c:v>7.772726492637938E-3</c:v>
                </c:pt>
                <c:pt idx="128">
                  <c:v>4.2691631192010027E-2</c:v>
                </c:pt>
                <c:pt idx="129">
                  <c:v>2.7745190033975353E-2</c:v>
                </c:pt>
                <c:pt idx="130">
                  <c:v>5.5146372491156281E-2</c:v>
                </c:pt>
                <c:pt idx="131">
                  <c:v>-7.0475204495774713E-2</c:v>
                </c:pt>
                <c:pt idx="132">
                  <c:v>-4.5574345291043983E-2</c:v>
                </c:pt>
                <c:pt idx="133">
                  <c:v>-5.9297519200335991E-2</c:v>
                </c:pt>
                <c:pt idx="134">
                  <c:v>2.1528690874480283E-2</c:v>
                </c:pt>
                <c:pt idx="135">
                  <c:v>-8.7724447497635194E-2</c:v>
                </c:pt>
                <c:pt idx="136">
                  <c:v>2.5998223235887963E-3</c:v>
                </c:pt>
                <c:pt idx="137">
                  <c:v>3.3720400509634985E-2</c:v>
                </c:pt>
                <c:pt idx="138">
                  <c:v>5.7993562932289411E-2</c:v>
                </c:pt>
                <c:pt idx="139">
                  <c:v>2.5133367560655762E-2</c:v>
                </c:pt>
                <c:pt idx="140">
                  <c:v>-1.9731526218699225E-2</c:v>
                </c:pt>
                <c:pt idx="141">
                  <c:v>-8.2141617963173208E-2</c:v>
                </c:pt>
                <c:pt idx="142">
                  <c:v>3.8542578585987641E-2</c:v>
                </c:pt>
                <c:pt idx="143">
                  <c:v>6.8471333339533258E-2</c:v>
                </c:pt>
                <c:pt idx="144">
                  <c:v>1.3861828441638524E-2</c:v>
                </c:pt>
                <c:pt idx="145">
                  <c:v>-7.6642334723373118E-2</c:v>
                </c:pt>
                <c:pt idx="146">
                  <c:v>0.12980186224573664</c:v>
                </c:pt>
                <c:pt idx="147">
                  <c:v>-7.5860569278680456E-2</c:v>
                </c:pt>
                <c:pt idx="148">
                  <c:v>4.411764977396393E-2</c:v>
                </c:pt>
                <c:pt idx="149">
                  <c:v>-0.10784661570872323</c:v>
                </c:pt>
                <c:pt idx="150">
                  <c:v>-3.504741255355126E-2</c:v>
                </c:pt>
                <c:pt idx="151">
                  <c:v>0.21737578078619135</c:v>
                </c:pt>
                <c:pt idx="152">
                  <c:v>0.19091489026021091</c:v>
                </c:pt>
                <c:pt idx="153">
                  <c:v>-0.1171796828742514</c:v>
                </c:pt>
                <c:pt idx="154">
                  <c:v>-6.8694280887835579E-2</c:v>
                </c:pt>
                <c:pt idx="155">
                  <c:v>-4.4376392371870632E-2</c:v>
                </c:pt>
                <c:pt idx="156">
                  <c:v>4.2249787710815001E-2</c:v>
                </c:pt>
                <c:pt idx="157">
                  <c:v>-0.10604100199508681</c:v>
                </c:pt>
                <c:pt idx="158">
                  <c:v>-1.0920793576307375E-2</c:v>
                </c:pt>
                <c:pt idx="159">
                  <c:v>-4.0474284570742425E-2</c:v>
                </c:pt>
                <c:pt idx="160">
                  <c:v>3.9363527637668261E-2</c:v>
                </c:pt>
                <c:pt idx="161">
                  <c:v>5.8054393305440044E-3</c:v>
                </c:pt>
                <c:pt idx="162">
                  <c:v>6.8457082675090764E-3</c:v>
                </c:pt>
                <c:pt idx="163">
                  <c:v>-5.8409361364537893E-2</c:v>
                </c:pt>
                <c:pt idx="164">
                  <c:v>1.453795462548424E-2</c:v>
                </c:pt>
                <c:pt idx="165">
                  <c:v>-0.11519116927048556</c:v>
                </c:pt>
                <c:pt idx="166">
                  <c:v>-3.7980645713796335E-2</c:v>
                </c:pt>
                <c:pt idx="167">
                  <c:v>9.3045024805766152E-2</c:v>
                </c:pt>
                <c:pt idx="168">
                  <c:v>0.67721171206531117</c:v>
                </c:pt>
                <c:pt idx="169">
                  <c:v>-0.15411686586985385</c:v>
                </c:pt>
                <c:pt idx="170">
                  <c:v>2.875879499965861E-2</c:v>
                </c:pt>
                <c:pt idx="171">
                  <c:v>-0.11423730864645742</c:v>
                </c:pt>
                <c:pt idx="172">
                  <c:v>0.11873011575170933</c:v>
                </c:pt>
                <c:pt idx="173">
                  <c:v>-0.13191914443530384</c:v>
                </c:pt>
                <c:pt idx="174">
                  <c:v>-4.1185418896839243E-2</c:v>
                </c:pt>
                <c:pt idx="175">
                  <c:v>5.4381691497196183E-3</c:v>
                </c:pt>
                <c:pt idx="176">
                  <c:v>-0.14686835491977568</c:v>
                </c:pt>
                <c:pt idx="177">
                  <c:v>-6.8515350679751452E-2</c:v>
                </c:pt>
                <c:pt idx="178">
                  <c:v>7.5217812197482914E-2</c:v>
                </c:pt>
                <c:pt idx="179">
                  <c:v>-2.3814023814023755E-2</c:v>
                </c:pt>
                <c:pt idx="180">
                  <c:v>-9.4542731442479599E-3</c:v>
                </c:pt>
                <c:pt idx="181">
                  <c:v>2.6027660391855445E-2</c:v>
                </c:pt>
                <c:pt idx="182">
                  <c:v>-3.180212014134276E-2</c:v>
                </c:pt>
                <c:pt idx="183">
                  <c:v>1.3810982795192217E-2</c:v>
                </c:pt>
                <c:pt idx="184">
                  <c:v>-7.3418937805730278E-2</c:v>
                </c:pt>
                <c:pt idx="185">
                  <c:v>-2.1036428937916796E-2</c:v>
                </c:pt>
                <c:pt idx="186">
                  <c:v>-2.545939414142262E-2</c:v>
                </c:pt>
                <c:pt idx="187">
                  <c:v>-7.5289947212268227E-2</c:v>
                </c:pt>
                <c:pt idx="188">
                  <c:v>4.7801687593362674E-2</c:v>
                </c:pt>
                <c:pt idx="189">
                  <c:v>-0.12216472923164168</c:v>
                </c:pt>
                <c:pt idx="190">
                  <c:v>-5.1126547018792712E-3</c:v>
                </c:pt>
                <c:pt idx="191">
                  <c:v>-4.800107414991106E-2</c:v>
                </c:pt>
                <c:pt idx="192">
                  <c:v>-7.6563032764018435E-2</c:v>
                </c:pt>
                <c:pt idx="193">
                  <c:v>2.7322230360156796E-2</c:v>
                </c:pt>
                <c:pt idx="194">
                  <c:v>6.2851147363433224E-2</c:v>
                </c:pt>
                <c:pt idx="195">
                  <c:v>5.4875218679710125E-2</c:v>
                </c:pt>
                <c:pt idx="196">
                  <c:v>1.3350217076700366E-2</c:v>
                </c:pt>
                <c:pt idx="197">
                  <c:v>-3.6396597406219477E-2</c:v>
                </c:pt>
                <c:pt idx="198">
                  <c:v>0.12685130622667429</c:v>
                </c:pt>
                <c:pt idx="199">
                  <c:v>-0.17057673509286397</c:v>
                </c:pt>
                <c:pt idx="200">
                  <c:v>-1.4324254881808995E-2</c:v>
                </c:pt>
                <c:pt idx="201">
                  <c:v>0.11538599319362364</c:v>
                </c:pt>
                <c:pt idx="202">
                  <c:v>-0.14131471284874964</c:v>
                </c:pt>
                <c:pt idx="203">
                  <c:v>-6.5752794781159474E-2</c:v>
                </c:pt>
                <c:pt idx="204">
                  <c:v>-7.5297338923590029E-3</c:v>
                </c:pt>
                <c:pt idx="205">
                  <c:v>9.6033011347650854E-2</c:v>
                </c:pt>
                <c:pt idx="206">
                  <c:v>2.2110745438859825E-2</c:v>
                </c:pt>
                <c:pt idx="207">
                  <c:v>1.868307131465019E-2</c:v>
                </c:pt>
                <c:pt idx="208">
                  <c:v>-3.7047484720263313E-2</c:v>
                </c:pt>
                <c:pt idx="209">
                  <c:v>1.8483049224286674E-2</c:v>
                </c:pt>
                <c:pt idx="210">
                  <c:v>9.3632174277335611E-2</c:v>
                </c:pt>
                <c:pt idx="211">
                  <c:v>0.36198944415386802</c:v>
                </c:pt>
                <c:pt idx="212">
                  <c:v>-0.20505745388569696</c:v>
                </c:pt>
                <c:pt idx="213">
                  <c:v>-0.1075127348783862</c:v>
                </c:pt>
                <c:pt idx="214">
                  <c:v>0.10628848665795854</c:v>
                </c:pt>
                <c:pt idx="215">
                  <c:v>6.4687884928676498E-2</c:v>
                </c:pt>
                <c:pt idx="216">
                  <c:v>-5.7451031796561969E-2</c:v>
                </c:pt>
                <c:pt idx="217">
                  <c:v>-0.14425357348887891</c:v>
                </c:pt>
                <c:pt idx="218">
                  <c:v>-2.2585596591799151E-2</c:v>
                </c:pt>
                <c:pt idx="219">
                  <c:v>0.11548675658676366</c:v>
                </c:pt>
                <c:pt idx="220">
                  <c:v>-3.7241379310344769E-2</c:v>
                </c:pt>
                <c:pt idx="221">
                  <c:v>-0.14771912721851077</c:v>
                </c:pt>
                <c:pt idx="222">
                  <c:v>2.0093594618309396E-2</c:v>
                </c:pt>
                <c:pt idx="223">
                  <c:v>-1.4583813696103287E-2</c:v>
                </c:pt>
                <c:pt idx="224">
                  <c:v>-7.553755562068698E-2</c:v>
                </c:pt>
                <c:pt idx="225">
                  <c:v>2.3926447318164401E-2</c:v>
                </c:pt>
                <c:pt idx="226">
                  <c:v>-4.2976501305483028E-2</c:v>
                </c:pt>
                <c:pt idx="227">
                  <c:v>-1.1459838942804002E-2</c:v>
                </c:pt>
                <c:pt idx="228">
                  <c:v>2.3890063424947261E-2</c:v>
                </c:pt>
                <c:pt idx="229">
                  <c:v>-4.9628290134619335E-2</c:v>
                </c:pt>
                <c:pt idx="230">
                  <c:v>-0.10714445889581548</c:v>
                </c:pt>
                <c:pt idx="231">
                  <c:v>3.5312144498873987E-2</c:v>
                </c:pt>
                <c:pt idx="232">
                  <c:v>-6.1376589215256239E-3</c:v>
                </c:pt>
                <c:pt idx="233">
                  <c:v>-3.4465089337432642E-2</c:v>
                </c:pt>
                <c:pt idx="234">
                  <c:v>3.6867636867637055E-2</c:v>
                </c:pt>
                <c:pt idx="235">
                  <c:v>0.1178247734138973</c:v>
                </c:pt>
                <c:pt idx="236">
                  <c:v>-0.1322069599121608</c:v>
                </c:pt>
                <c:pt idx="237">
                  <c:v>-5.6631294127594822E-2</c:v>
                </c:pt>
                <c:pt idx="238">
                  <c:v>-1.4088616564544965E-2</c:v>
                </c:pt>
                <c:pt idx="239">
                  <c:v>6.7690253671562228E-2</c:v>
                </c:pt>
                <c:pt idx="240">
                  <c:v>1.6397150288363749E-2</c:v>
                </c:pt>
                <c:pt idx="241">
                  <c:v>8.991122977567878E-3</c:v>
                </c:pt>
                <c:pt idx="242">
                  <c:v>7.3202390282131713E-2</c:v>
                </c:pt>
                <c:pt idx="243">
                  <c:v>-7.6742187853299004E-2</c:v>
                </c:pt>
                <c:pt idx="244">
                  <c:v>8.1466395112017587E-4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A9-4760-8EC9-627B28C20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618160"/>
        <c:axId val="1929220688"/>
      </c:lineChart>
      <c:dateAx>
        <c:axId val="224618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9220688"/>
        <c:crosses val="autoZero"/>
        <c:auto val="0"/>
        <c:lblOffset val="100"/>
        <c:baseTimeUnit val="months"/>
        <c:majorUnit val="2"/>
        <c:majorTimeUnit val="years"/>
      </c:dateAx>
      <c:valAx>
        <c:axId val="192922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Variación mensual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461816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BANORTE — Tasa de crecimiento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BANORTE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Crecimiento!$A$2:$A$304</c:f>
              <c:numCache>
                <c:formatCode>m/d/yyyy</c:formatCode>
                <c:ptCount val="303"/>
                <c:pt idx="0">
                  <c:v>38776.041250000002</c:v>
                </c:pt>
                <c:pt idx="1">
                  <c:v>38807.041250000002</c:v>
                </c:pt>
                <c:pt idx="2">
                  <c:v>38835.041250000002</c:v>
                </c:pt>
                <c:pt idx="3">
                  <c:v>38868.041250000002</c:v>
                </c:pt>
                <c:pt idx="4">
                  <c:v>38898.041250000002</c:v>
                </c:pt>
                <c:pt idx="5">
                  <c:v>38929.041250000002</c:v>
                </c:pt>
                <c:pt idx="6">
                  <c:v>38960.041250000002</c:v>
                </c:pt>
                <c:pt idx="7">
                  <c:v>38989.041250000002</c:v>
                </c:pt>
                <c:pt idx="8">
                  <c:v>39021.041250000002</c:v>
                </c:pt>
                <c:pt idx="9">
                  <c:v>39051.041250000002</c:v>
                </c:pt>
                <c:pt idx="10">
                  <c:v>39080.041250000002</c:v>
                </c:pt>
                <c:pt idx="11">
                  <c:v>39113.041250000002</c:v>
                </c:pt>
                <c:pt idx="12">
                  <c:v>39141.041250000002</c:v>
                </c:pt>
                <c:pt idx="13">
                  <c:v>39171.041250000002</c:v>
                </c:pt>
                <c:pt idx="14">
                  <c:v>39202.041250000002</c:v>
                </c:pt>
                <c:pt idx="15">
                  <c:v>39233.041250000002</c:v>
                </c:pt>
                <c:pt idx="16">
                  <c:v>39262.041250000002</c:v>
                </c:pt>
                <c:pt idx="17">
                  <c:v>39294.041250000002</c:v>
                </c:pt>
                <c:pt idx="18">
                  <c:v>39325.041250000002</c:v>
                </c:pt>
                <c:pt idx="19">
                  <c:v>39353.041250000002</c:v>
                </c:pt>
                <c:pt idx="20">
                  <c:v>39386.041250000002</c:v>
                </c:pt>
                <c:pt idx="21">
                  <c:v>39416.041250000002</c:v>
                </c:pt>
                <c:pt idx="22">
                  <c:v>39447.041250000002</c:v>
                </c:pt>
                <c:pt idx="23">
                  <c:v>39478.041250000002</c:v>
                </c:pt>
                <c:pt idx="24">
                  <c:v>39507.041250000002</c:v>
                </c:pt>
                <c:pt idx="25">
                  <c:v>39538.041250000002</c:v>
                </c:pt>
                <c:pt idx="26">
                  <c:v>39568.041250000002</c:v>
                </c:pt>
                <c:pt idx="27">
                  <c:v>39598.041250000002</c:v>
                </c:pt>
                <c:pt idx="28">
                  <c:v>39629.041250000002</c:v>
                </c:pt>
                <c:pt idx="29">
                  <c:v>39660.041250000002</c:v>
                </c:pt>
                <c:pt idx="30">
                  <c:v>39689.041250000002</c:v>
                </c:pt>
                <c:pt idx="31">
                  <c:v>39721.041250000002</c:v>
                </c:pt>
                <c:pt idx="32">
                  <c:v>39752.041250000002</c:v>
                </c:pt>
                <c:pt idx="33">
                  <c:v>39780.041250000002</c:v>
                </c:pt>
                <c:pt idx="34">
                  <c:v>39813.041250000002</c:v>
                </c:pt>
                <c:pt idx="35">
                  <c:v>39843.041250000002</c:v>
                </c:pt>
                <c:pt idx="36">
                  <c:v>39871.041250000002</c:v>
                </c:pt>
                <c:pt idx="37">
                  <c:v>39903.041250000002</c:v>
                </c:pt>
                <c:pt idx="38">
                  <c:v>39933.041250000002</c:v>
                </c:pt>
                <c:pt idx="39">
                  <c:v>39962.041250000002</c:v>
                </c:pt>
                <c:pt idx="40">
                  <c:v>39994.041250000002</c:v>
                </c:pt>
                <c:pt idx="41">
                  <c:v>40025.041250000002</c:v>
                </c:pt>
                <c:pt idx="42">
                  <c:v>40056.041250000002</c:v>
                </c:pt>
                <c:pt idx="43">
                  <c:v>40086.041250000002</c:v>
                </c:pt>
                <c:pt idx="44">
                  <c:v>40116.041250000002</c:v>
                </c:pt>
                <c:pt idx="45">
                  <c:v>40147.041250000002</c:v>
                </c:pt>
                <c:pt idx="46">
                  <c:v>40178.041250000002</c:v>
                </c:pt>
                <c:pt idx="47">
                  <c:v>40207.041250000002</c:v>
                </c:pt>
                <c:pt idx="48">
                  <c:v>40235.041250000002</c:v>
                </c:pt>
                <c:pt idx="49">
                  <c:v>40268.041250000002</c:v>
                </c:pt>
                <c:pt idx="50">
                  <c:v>40298.041250000002</c:v>
                </c:pt>
                <c:pt idx="51">
                  <c:v>40329.041250000002</c:v>
                </c:pt>
                <c:pt idx="52">
                  <c:v>40359.041250000002</c:v>
                </c:pt>
                <c:pt idx="53">
                  <c:v>40389.041250000002</c:v>
                </c:pt>
                <c:pt idx="54">
                  <c:v>40421.041250000002</c:v>
                </c:pt>
                <c:pt idx="55">
                  <c:v>40451.041250000002</c:v>
                </c:pt>
                <c:pt idx="56">
                  <c:v>40480.041250000002</c:v>
                </c:pt>
                <c:pt idx="57">
                  <c:v>40512.041250000002</c:v>
                </c:pt>
                <c:pt idx="58">
                  <c:v>40543.041250000002</c:v>
                </c:pt>
                <c:pt idx="59">
                  <c:v>40574.041250000002</c:v>
                </c:pt>
                <c:pt idx="60">
                  <c:v>40602.041250000002</c:v>
                </c:pt>
                <c:pt idx="61">
                  <c:v>40633.041250000002</c:v>
                </c:pt>
                <c:pt idx="62">
                  <c:v>40662.041250000002</c:v>
                </c:pt>
                <c:pt idx="63">
                  <c:v>40694.041250000002</c:v>
                </c:pt>
                <c:pt idx="64">
                  <c:v>40724.041250000002</c:v>
                </c:pt>
                <c:pt idx="65">
                  <c:v>40753.041250000002</c:v>
                </c:pt>
                <c:pt idx="66">
                  <c:v>40786.041250000002</c:v>
                </c:pt>
                <c:pt idx="67">
                  <c:v>40816.041250000002</c:v>
                </c:pt>
                <c:pt idx="68">
                  <c:v>40847.041250000002</c:v>
                </c:pt>
                <c:pt idx="69">
                  <c:v>40877.041250000002</c:v>
                </c:pt>
                <c:pt idx="70">
                  <c:v>40907.041250000002</c:v>
                </c:pt>
                <c:pt idx="71">
                  <c:v>40939.041250000002</c:v>
                </c:pt>
                <c:pt idx="72">
                  <c:v>40968.041250000002</c:v>
                </c:pt>
                <c:pt idx="73">
                  <c:v>40998.041250000002</c:v>
                </c:pt>
                <c:pt idx="74">
                  <c:v>41029.041250000002</c:v>
                </c:pt>
                <c:pt idx="75">
                  <c:v>41060.041250000002</c:v>
                </c:pt>
                <c:pt idx="76">
                  <c:v>41089.041250000002</c:v>
                </c:pt>
                <c:pt idx="77">
                  <c:v>41121.041250000002</c:v>
                </c:pt>
                <c:pt idx="78">
                  <c:v>41152.041250000002</c:v>
                </c:pt>
                <c:pt idx="79">
                  <c:v>41180.041250000002</c:v>
                </c:pt>
                <c:pt idx="80">
                  <c:v>41213.041250000002</c:v>
                </c:pt>
                <c:pt idx="81">
                  <c:v>41243.041250000002</c:v>
                </c:pt>
                <c:pt idx="82">
                  <c:v>41274.041250000002</c:v>
                </c:pt>
                <c:pt idx="83">
                  <c:v>41305.041250000002</c:v>
                </c:pt>
                <c:pt idx="84">
                  <c:v>41333.041250000002</c:v>
                </c:pt>
                <c:pt idx="85">
                  <c:v>41360.041250000002</c:v>
                </c:pt>
                <c:pt idx="86">
                  <c:v>41394.041250000002</c:v>
                </c:pt>
                <c:pt idx="87">
                  <c:v>41425.041250000002</c:v>
                </c:pt>
                <c:pt idx="88">
                  <c:v>41453.041250000002</c:v>
                </c:pt>
                <c:pt idx="89">
                  <c:v>41486.041250000002</c:v>
                </c:pt>
                <c:pt idx="90">
                  <c:v>41516.041250000002</c:v>
                </c:pt>
                <c:pt idx="91">
                  <c:v>41547.041250000002</c:v>
                </c:pt>
                <c:pt idx="92">
                  <c:v>41578.041250000002</c:v>
                </c:pt>
                <c:pt idx="93">
                  <c:v>41607.041250000002</c:v>
                </c:pt>
                <c:pt idx="94">
                  <c:v>41639.041250000002</c:v>
                </c:pt>
                <c:pt idx="95">
                  <c:v>41670.041250000002</c:v>
                </c:pt>
                <c:pt idx="96">
                  <c:v>41698.041250000002</c:v>
                </c:pt>
                <c:pt idx="97">
                  <c:v>41729.041250000002</c:v>
                </c:pt>
                <c:pt idx="98">
                  <c:v>41759.041250000002</c:v>
                </c:pt>
                <c:pt idx="99">
                  <c:v>41789.041250000002</c:v>
                </c:pt>
                <c:pt idx="100">
                  <c:v>41820.041250000002</c:v>
                </c:pt>
                <c:pt idx="101">
                  <c:v>41851.041250000002</c:v>
                </c:pt>
                <c:pt idx="102">
                  <c:v>41880.041250000002</c:v>
                </c:pt>
                <c:pt idx="103">
                  <c:v>41912.041250000002</c:v>
                </c:pt>
                <c:pt idx="104">
                  <c:v>41943.041250000002</c:v>
                </c:pt>
                <c:pt idx="105">
                  <c:v>41971.041250000002</c:v>
                </c:pt>
                <c:pt idx="106">
                  <c:v>42004.041250000002</c:v>
                </c:pt>
                <c:pt idx="107">
                  <c:v>42034.041250000002</c:v>
                </c:pt>
                <c:pt idx="108">
                  <c:v>42062.041250000002</c:v>
                </c:pt>
                <c:pt idx="109">
                  <c:v>42094.041250000002</c:v>
                </c:pt>
                <c:pt idx="110">
                  <c:v>42124.041250000002</c:v>
                </c:pt>
                <c:pt idx="111">
                  <c:v>42153.041250000002</c:v>
                </c:pt>
                <c:pt idx="112">
                  <c:v>42185.041250000002</c:v>
                </c:pt>
                <c:pt idx="113">
                  <c:v>42216.041250000002</c:v>
                </c:pt>
                <c:pt idx="114">
                  <c:v>42247.041250000002</c:v>
                </c:pt>
                <c:pt idx="115">
                  <c:v>42277.041250000002</c:v>
                </c:pt>
                <c:pt idx="116">
                  <c:v>42307.041250000002</c:v>
                </c:pt>
                <c:pt idx="117">
                  <c:v>42338.041250000002</c:v>
                </c:pt>
                <c:pt idx="118">
                  <c:v>42369.041250000002</c:v>
                </c:pt>
                <c:pt idx="119">
                  <c:v>42398.041250000002</c:v>
                </c:pt>
                <c:pt idx="120">
                  <c:v>42429.041250000002</c:v>
                </c:pt>
                <c:pt idx="121">
                  <c:v>42460.041250000002</c:v>
                </c:pt>
                <c:pt idx="122">
                  <c:v>42489.041250000002</c:v>
                </c:pt>
                <c:pt idx="123">
                  <c:v>42521.041250000002</c:v>
                </c:pt>
                <c:pt idx="124">
                  <c:v>42551.041250000002</c:v>
                </c:pt>
                <c:pt idx="125">
                  <c:v>42580.041250000002</c:v>
                </c:pt>
                <c:pt idx="126">
                  <c:v>42613.041250000002</c:v>
                </c:pt>
                <c:pt idx="127">
                  <c:v>42643.041250000002</c:v>
                </c:pt>
                <c:pt idx="128">
                  <c:v>42674.041250000002</c:v>
                </c:pt>
                <c:pt idx="129">
                  <c:v>42704.041250000002</c:v>
                </c:pt>
                <c:pt idx="130">
                  <c:v>42734.041250000002</c:v>
                </c:pt>
                <c:pt idx="131">
                  <c:v>42766.041250000002</c:v>
                </c:pt>
                <c:pt idx="132">
                  <c:v>42794.041250000002</c:v>
                </c:pt>
                <c:pt idx="133">
                  <c:v>42825.041250000002</c:v>
                </c:pt>
                <c:pt idx="134">
                  <c:v>42853.041250000002</c:v>
                </c:pt>
                <c:pt idx="135">
                  <c:v>42886.041250000002</c:v>
                </c:pt>
                <c:pt idx="136">
                  <c:v>42916.041250000002</c:v>
                </c:pt>
                <c:pt idx="137">
                  <c:v>42947.041250000002</c:v>
                </c:pt>
                <c:pt idx="138">
                  <c:v>42978.041250000002</c:v>
                </c:pt>
                <c:pt idx="139">
                  <c:v>43007.041250000002</c:v>
                </c:pt>
                <c:pt idx="140">
                  <c:v>43039.041250000002</c:v>
                </c:pt>
                <c:pt idx="141">
                  <c:v>43069.041250000002</c:v>
                </c:pt>
                <c:pt idx="142">
                  <c:v>43098.041250000002</c:v>
                </c:pt>
                <c:pt idx="143">
                  <c:v>43131.041250000002</c:v>
                </c:pt>
                <c:pt idx="144">
                  <c:v>43159.041250000002</c:v>
                </c:pt>
                <c:pt idx="145">
                  <c:v>43187.041250000002</c:v>
                </c:pt>
                <c:pt idx="146">
                  <c:v>43220.041250000002</c:v>
                </c:pt>
                <c:pt idx="147">
                  <c:v>43251.041250000002</c:v>
                </c:pt>
                <c:pt idx="148">
                  <c:v>43280.041250000002</c:v>
                </c:pt>
                <c:pt idx="149">
                  <c:v>43312.041250000002</c:v>
                </c:pt>
                <c:pt idx="150">
                  <c:v>43343.041250000002</c:v>
                </c:pt>
                <c:pt idx="151">
                  <c:v>43371.041250000002</c:v>
                </c:pt>
                <c:pt idx="152">
                  <c:v>43404.041250000002</c:v>
                </c:pt>
                <c:pt idx="153">
                  <c:v>43434.041250000002</c:v>
                </c:pt>
                <c:pt idx="154">
                  <c:v>43465.041250000002</c:v>
                </c:pt>
                <c:pt idx="155">
                  <c:v>43496.041250000002</c:v>
                </c:pt>
                <c:pt idx="156">
                  <c:v>43524.041250000002</c:v>
                </c:pt>
                <c:pt idx="157">
                  <c:v>43553.041250000002</c:v>
                </c:pt>
                <c:pt idx="158">
                  <c:v>43585.041250000002</c:v>
                </c:pt>
                <c:pt idx="159">
                  <c:v>43616.041250000002</c:v>
                </c:pt>
                <c:pt idx="160">
                  <c:v>43644.041250000002</c:v>
                </c:pt>
                <c:pt idx="161">
                  <c:v>43677.041250000002</c:v>
                </c:pt>
                <c:pt idx="162">
                  <c:v>43707.041250000002</c:v>
                </c:pt>
                <c:pt idx="163">
                  <c:v>43738.041250000002</c:v>
                </c:pt>
                <c:pt idx="164">
                  <c:v>43769.041250000002</c:v>
                </c:pt>
                <c:pt idx="165">
                  <c:v>43798.041250000002</c:v>
                </c:pt>
                <c:pt idx="166">
                  <c:v>43830.041250000002</c:v>
                </c:pt>
                <c:pt idx="167">
                  <c:v>43861.041250000002</c:v>
                </c:pt>
                <c:pt idx="168">
                  <c:v>43889.041250000002</c:v>
                </c:pt>
                <c:pt idx="169">
                  <c:v>43921.041250000002</c:v>
                </c:pt>
                <c:pt idx="170">
                  <c:v>43951.041250000002</c:v>
                </c:pt>
                <c:pt idx="171">
                  <c:v>43980.041250000002</c:v>
                </c:pt>
                <c:pt idx="172">
                  <c:v>44012.041250000002</c:v>
                </c:pt>
                <c:pt idx="173">
                  <c:v>44043.041250000002</c:v>
                </c:pt>
                <c:pt idx="174">
                  <c:v>44074.041250000002</c:v>
                </c:pt>
                <c:pt idx="175">
                  <c:v>44104.041250000002</c:v>
                </c:pt>
                <c:pt idx="176">
                  <c:v>44134.041250000002</c:v>
                </c:pt>
                <c:pt idx="177">
                  <c:v>44165.041250000002</c:v>
                </c:pt>
                <c:pt idx="178">
                  <c:v>44196.041250000002</c:v>
                </c:pt>
                <c:pt idx="179">
                  <c:v>44225.041250000002</c:v>
                </c:pt>
                <c:pt idx="180">
                  <c:v>44253.041250000002</c:v>
                </c:pt>
                <c:pt idx="181">
                  <c:v>44286.041250000002</c:v>
                </c:pt>
                <c:pt idx="182">
                  <c:v>44316.041250000002</c:v>
                </c:pt>
                <c:pt idx="183">
                  <c:v>44347.041250000002</c:v>
                </c:pt>
                <c:pt idx="184">
                  <c:v>44377.041250000002</c:v>
                </c:pt>
                <c:pt idx="185">
                  <c:v>44407.041250000002</c:v>
                </c:pt>
                <c:pt idx="186">
                  <c:v>44439.041250000002</c:v>
                </c:pt>
                <c:pt idx="187">
                  <c:v>44469.041250000002</c:v>
                </c:pt>
                <c:pt idx="188">
                  <c:v>44498.041250000002</c:v>
                </c:pt>
                <c:pt idx="189">
                  <c:v>44530.041250000002</c:v>
                </c:pt>
                <c:pt idx="190">
                  <c:v>44561.041250000002</c:v>
                </c:pt>
                <c:pt idx="191">
                  <c:v>44592.041250000002</c:v>
                </c:pt>
                <c:pt idx="192">
                  <c:v>44620.041250000002</c:v>
                </c:pt>
                <c:pt idx="193">
                  <c:v>44651.041250000002</c:v>
                </c:pt>
                <c:pt idx="194">
                  <c:v>44680.041250000002</c:v>
                </c:pt>
                <c:pt idx="195">
                  <c:v>44712.041250000002</c:v>
                </c:pt>
                <c:pt idx="196">
                  <c:v>44742.041250000002</c:v>
                </c:pt>
                <c:pt idx="197">
                  <c:v>44771.041250000002</c:v>
                </c:pt>
                <c:pt idx="198">
                  <c:v>44804.041250000002</c:v>
                </c:pt>
                <c:pt idx="199">
                  <c:v>44834.041250000002</c:v>
                </c:pt>
                <c:pt idx="200">
                  <c:v>44865.041250000002</c:v>
                </c:pt>
                <c:pt idx="201">
                  <c:v>44895.041250000002</c:v>
                </c:pt>
                <c:pt idx="202">
                  <c:v>44925.041250000002</c:v>
                </c:pt>
                <c:pt idx="203">
                  <c:v>44957.041250000002</c:v>
                </c:pt>
                <c:pt idx="204">
                  <c:v>44985.041250000002</c:v>
                </c:pt>
                <c:pt idx="205">
                  <c:v>45016.041250000002</c:v>
                </c:pt>
                <c:pt idx="206">
                  <c:v>45044.041250000002</c:v>
                </c:pt>
                <c:pt idx="207">
                  <c:v>45077.041250000002</c:v>
                </c:pt>
                <c:pt idx="208">
                  <c:v>45107.041250000002</c:v>
                </c:pt>
                <c:pt idx="209">
                  <c:v>45138.041250000002</c:v>
                </c:pt>
                <c:pt idx="210">
                  <c:v>45169.041250000002</c:v>
                </c:pt>
                <c:pt idx="211">
                  <c:v>45198.041250000002</c:v>
                </c:pt>
                <c:pt idx="212">
                  <c:v>45230.041250000002</c:v>
                </c:pt>
                <c:pt idx="213">
                  <c:v>45260.041250000002</c:v>
                </c:pt>
                <c:pt idx="214">
                  <c:v>45289.041250000002</c:v>
                </c:pt>
                <c:pt idx="215">
                  <c:v>45322.041250000002</c:v>
                </c:pt>
                <c:pt idx="216">
                  <c:v>45351.041250000002</c:v>
                </c:pt>
                <c:pt idx="217">
                  <c:v>45378.041250000002</c:v>
                </c:pt>
                <c:pt idx="218">
                  <c:v>45412.041250000002</c:v>
                </c:pt>
                <c:pt idx="219">
                  <c:v>45443.041250000002</c:v>
                </c:pt>
                <c:pt idx="220">
                  <c:v>45471.041250000002</c:v>
                </c:pt>
                <c:pt idx="221">
                  <c:v>45504.041250000002</c:v>
                </c:pt>
                <c:pt idx="222">
                  <c:v>45534.041250000002</c:v>
                </c:pt>
                <c:pt idx="223">
                  <c:v>45565.041250000002</c:v>
                </c:pt>
                <c:pt idx="224">
                  <c:v>45596.041250000002</c:v>
                </c:pt>
                <c:pt idx="225">
                  <c:v>45625.041250000002</c:v>
                </c:pt>
                <c:pt idx="226">
                  <c:v>45657.041250000002</c:v>
                </c:pt>
                <c:pt idx="227">
                  <c:v>45688.041250000002</c:v>
                </c:pt>
                <c:pt idx="228">
                  <c:v>45716.041250000002</c:v>
                </c:pt>
                <c:pt idx="229">
                  <c:v>45747.041250000002</c:v>
                </c:pt>
                <c:pt idx="230">
                  <c:v>45777.041250000002</c:v>
                </c:pt>
                <c:pt idx="231">
                  <c:v>45807.041250000002</c:v>
                </c:pt>
                <c:pt idx="232">
                  <c:v>45838.041250000002</c:v>
                </c:pt>
                <c:pt idx="233">
                  <c:v>45869.041250000002</c:v>
                </c:pt>
                <c:pt idx="234">
                  <c:v>45898.041250000002</c:v>
                </c:pt>
                <c:pt idx="235">
                  <c:v>45930.041250000002</c:v>
                </c:pt>
                <c:pt idx="236">
                  <c:v>45961.041250000002</c:v>
                </c:pt>
                <c:pt idx="237">
                  <c:v>45989.041250000002</c:v>
                </c:pt>
                <c:pt idx="238">
                  <c:v>46022.041250000002</c:v>
                </c:pt>
                <c:pt idx="239">
                  <c:v>46052.041250000002</c:v>
                </c:pt>
                <c:pt idx="240">
                  <c:v>46080.041250000002</c:v>
                </c:pt>
                <c:pt idx="241">
                  <c:v>46112.041250000002</c:v>
                </c:pt>
                <c:pt idx="242">
                  <c:v>46142.041250000002</c:v>
                </c:pt>
                <c:pt idx="243">
                  <c:v>46171.041250000002</c:v>
                </c:pt>
                <c:pt idx="244">
                  <c:v>46203.041250000002</c:v>
                </c:pt>
                <c:pt idx="245">
                  <c:v>46209.041250000002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</c:numCache>
            </c:numRef>
          </c:cat>
          <c:val>
            <c:numRef>
              <c:f>Crecimiento!$F$2:$F$304</c:f>
              <c:numCache>
                <c:formatCode>0.0%</c:formatCode>
                <c:ptCount val="303"/>
                <c:pt idx="0">
                  <c:v>-1.0814986481266997E-2</c:v>
                </c:pt>
                <c:pt idx="1">
                  <c:v>-0.10415224913494803</c:v>
                </c:pt>
                <c:pt idx="2">
                  <c:v>7.5949367088607556E-2</c:v>
                </c:pt>
                <c:pt idx="3">
                  <c:v>2.323809523809528E-2</c:v>
                </c:pt>
                <c:pt idx="4">
                  <c:v>-0.12848605577689243</c:v>
                </c:pt>
                <c:pt idx="5">
                  <c:v>-5.8749999999999969E-2</c:v>
                </c:pt>
                <c:pt idx="6">
                  <c:v>-7.6745527986151085E-2</c:v>
                </c:pt>
                <c:pt idx="7">
                  <c:v>-0.10531750129065576</c:v>
                </c:pt>
                <c:pt idx="8">
                  <c:v>-5.443007078350004E-2</c:v>
                </c:pt>
                <c:pt idx="9">
                  <c:v>-3.0295857988165698E-2</c:v>
                </c:pt>
                <c:pt idx="10">
                  <c:v>-3.4726981951108127E-2</c:v>
                </c:pt>
                <c:pt idx="11">
                  <c:v>3.6688832836506702E-3</c:v>
                </c:pt>
                <c:pt idx="12">
                  <c:v>-0.16615678776290632</c:v>
                </c:pt>
                <c:pt idx="13">
                  <c:v>9.9663582842724807E-2</c:v>
                </c:pt>
                <c:pt idx="14">
                  <c:v>-5.088804629814403E-2</c:v>
                </c:pt>
                <c:pt idx="15">
                  <c:v>1.0689794271883768E-2</c:v>
                </c:pt>
                <c:pt idx="16">
                  <c:v>-1.208702659145855E-3</c:v>
                </c:pt>
                <c:pt idx="17">
                  <c:v>0.10335630140031116</c:v>
                </c:pt>
                <c:pt idx="18">
                  <c:v>4.8229263746505158E-2</c:v>
                </c:pt>
                <c:pt idx="19">
                  <c:v>-0.1269324654190398</c:v>
                </c:pt>
                <c:pt idx="20">
                  <c:v>3.8664694696809665E-2</c:v>
                </c:pt>
                <c:pt idx="21">
                  <c:v>4.9911268855368229E-2</c:v>
                </c:pt>
                <c:pt idx="22">
                  <c:v>9.4043887147334804E-3</c:v>
                </c:pt>
                <c:pt idx="23">
                  <c:v>3.9329764952292345E-2</c:v>
                </c:pt>
                <c:pt idx="24">
                  <c:v>-6.8703944516688376E-2</c:v>
                </c:pt>
                <c:pt idx="25">
                  <c:v>-3.6709134096307716E-3</c:v>
                </c:pt>
                <c:pt idx="26">
                  <c:v>-7.657028913260211E-2</c:v>
                </c:pt>
                <c:pt idx="27">
                  <c:v>3.4660614813286639E-2</c:v>
                </c:pt>
                <c:pt idx="28">
                  <c:v>0.11527841693511265</c:v>
                </c:pt>
                <c:pt idx="29">
                  <c:v>4.8998310403089551E-2</c:v>
                </c:pt>
                <c:pt idx="30">
                  <c:v>0.18642611683848798</c:v>
                </c:pt>
                <c:pt idx="31">
                  <c:v>0.40749697702539311</c:v>
                </c:pt>
                <c:pt idx="32">
                  <c:v>0.15880429705744969</c:v>
                </c:pt>
                <c:pt idx="33">
                  <c:v>-0.13946945337620575</c:v>
                </c:pt>
                <c:pt idx="34">
                  <c:v>0.31431590068674065</c:v>
                </c:pt>
                <c:pt idx="35">
                  <c:v>0.17650714729645745</c:v>
                </c:pt>
                <c:pt idx="36">
                  <c:v>-0.14551248008497075</c:v>
                </c:pt>
                <c:pt idx="37">
                  <c:v>-0.13225806451612909</c:v>
                </c:pt>
                <c:pt idx="38">
                  <c:v>-0.30559999999999998</c:v>
                </c:pt>
                <c:pt idx="39">
                  <c:v>-2.4960998439937487E-2</c:v>
                </c:pt>
                <c:pt idx="40">
                  <c:v>-1.5965612526865347E-2</c:v>
                </c:pt>
                <c:pt idx="41">
                  <c:v>-0.16892064302117882</c:v>
                </c:pt>
                <c:pt idx="42">
                  <c:v>-0.13277273733126793</c:v>
                </c:pt>
                <c:pt idx="43">
                  <c:v>4.3407988917109064E-2</c:v>
                </c:pt>
                <c:pt idx="44">
                  <c:v>-3.2178770949720659E-2</c:v>
                </c:pt>
                <c:pt idx="45">
                  <c:v>-6.4590301003344508E-2</c:v>
                </c:pt>
                <c:pt idx="46">
                  <c:v>0.11229946524064194</c:v>
                </c:pt>
                <c:pt idx="47">
                  <c:v>-9.9832565927166272E-2</c:v>
                </c:pt>
                <c:pt idx="48">
                  <c:v>-0.12442734102986985</c:v>
                </c:pt>
                <c:pt idx="49">
                  <c:v>6.7488262910798236E-2</c:v>
                </c:pt>
                <c:pt idx="50">
                  <c:v>1.2076816471985774E-2</c:v>
                </c:pt>
                <c:pt idx="51">
                  <c:v>7.3793378540087939E-3</c:v>
                </c:pt>
                <c:pt idx="52">
                  <c:v>1.1907164480323029E-2</c:v>
                </c:pt>
                <c:pt idx="53">
                  <c:v>4.337755316908809E-2</c:v>
                </c:pt>
                <c:pt idx="54">
                  <c:v>-4.6111926220917532E-3</c:v>
                </c:pt>
                <c:pt idx="55">
                  <c:v>-9.4171254983861807E-2</c:v>
                </c:pt>
                <c:pt idx="56">
                  <c:v>-2.0821714073247732E-2</c:v>
                </c:pt>
                <c:pt idx="57">
                  <c:v>-8.6136595310907227E-2</c:v>
                </c:pt>
                <c:pt idx="58">
                  <c:v>9.0403853278992363E-2</c:v>
                </c:pt>
                <c:pt idx="59">
                  <c:v>-1.7831149927219903E-2</c:v>
                </c:pt>
                <c:pt idx="60">
                  <c:v>-1.8220793140407254E-2</c:v>
                </c:pt>
                <c:pt idx="61">
                  <c:v>-3.4328100741763068E-2</c:v>
                </c:pt>
                <c:pt idx="62">
                  <c:v>7.4712643678160884E-2</c:v>
                </c:pt>
                <c:pt idx="63">
                  <c:v>1.2007504690431547E-2</c:v>
                </c:pt>
                <c:pt idx="64">
                  <c:v>3.9188925716513889E-2</c:v>
                </c:pt>
                <c:pt idx="65">
                  <c:v>2.2120366679952097E-2</c:v>
                </c:pt>
                <c:pt idx="66">
                  <c:v>0.21914480077745391</c:v>
                </c:pt>
                <c:pt idx="67">
                  <c:v>-9.5583388266315183E-2</c:v>
                </c:pt>
                <c:pt idx="68">
                  <c:v>-3.0464422667234814E-2</c:v>
                </c:pt>
                <c:pt idx="69">
                  <c:v>0.10916824196597341</c:v>
                </c:pt>
                <c:pt idx="70">
                  <c:v>-0.18521370812475935</c:v>
                </c:pt>
                <c:pt idx="71">
                  <c:v>-1.1419870574800206E-2</c:v>
                </c:pt>
                <c:pt idx="72">
                  <c:v>-7.7922077922077837E-2</c:v>
                </c:pt>
                <c:pt idx="73">
                  <c:v>-9.7131991760418313E-2</c:v>
                </c:pt>
                <c:pt idx="74">
                  <c:v>-1.5905192577576721E-2</c:v>
                </c:pt>
                <c:pt idx="75">
                  <c:v>-7.2595806218366032E-2</c:v>
                </c:pt>
                <c:pt idx="76">
                  <c:v>-2.8928521275101593E-2</c:v>
                </c:pt>
                <c:pt idx="77">
                  <c:v>5.856994202467658E-2</c:v>
                </c:pt>
                <c:pt idx="78">
                  <c:v>-7.5453545904343167E-2</c:v>
                </c:pt>
                <c:pt idx="79">
                  <c:v>1.3745704467371667E-4</c:v>
                </c:pt>
                <c:pt idx="80">
                  <c:v>-1.8483540205072924E-2</c:v>
                </c:pt>
                <c:pt idx="81">
                  <c:v>-0.11180347513481126</c:v>
                </c:pt>
                <c:pt idx="82">
                  <c:v>-4.8135051899167336E-2</c:v>
                </c:pt>
                <c:pt idx="83">
                  <c:v>-7.5601012231126141E-2</c:v>
                </c:pt>
                <c:pt idx="84">
                  <c:v>-3.8913660316173493E-2</c:v>
                </c:pt>
                <c:pt idx="85">
                  <c:v>7.7763215377894435E-2</c:v>
                </c:pt>
                <c:pt idx="86">
                  <c:v>0.12000000000000011</c:v>
                </c:pt>
                <c:pt idx="87">
                  <c:v>6.556308654848797E-2</c:v>
                </c:pt>
                <c:pt idx="88">
                  <c:v>-5.459026494146646E-2</c:v>
                </c:pt>
                <c:pt idx="89">
                  <c:v>-2.8027308659719585E-2</c:v>
                </c:pt>
                <c:pt idx="90">
                  <c:v>2.1534320323014722E-2</c:v>
                </c:pt>
                <c:pt idx="91">
                  <c:v>-1.8611911623439004E-2</c:v>
                </c:pt>
                <c:pt idx="92">
                  <c:v>-7.0743137692479419E-2</c:v>
                </c:pt>
                <c:pt idx="93">
                  <c:v>-1.9045534150612942E-2</c:v>
                </c:pt>
                <c:pt idx="94">
                  <c:v>8.2208007581141773E-2</c:v>
                </c:pt>
                <c:pt idx="95">
                  <c:v>-1.8714401952807158E-2</c:v>
                </c:pt>
                <c:pt idx="96">
                  <c:v>-2.0494136399863305E-2</c:v>
                </c:pt>
                <c:pt idx="97">
                  <c:v>1.2683039317421763E-2</c:v>
                </c:pt>
                <c:pt idx="98">
                  <c:v>-6.7218756721875716E-2</c:v>
                </c:pt>
                <c:pt idx="99">
                  <c:v>2.0476344433666416E-3</c:v>
                </c:pt>
                <c:pt idx="100">
                  <c:v>5.6111996357842031E-2</c:v>
                </c:pt>
                <c:pt idx="101">
                  <c:v>-4.5518739815317732E-2</c:v>
                </c:pt>
                <c:pt idx="102">
                  <c:v>7.3093961296339494E-2</c:v>
                </c:pt>
                <c:pt idx="103">
                  <c:v>-7.0610024308368491E-3</c:v>
                </c:pt>
                <c:pt idx="104">
                  <c:v>9.6319796954314807E-2</c:v>
                </c:pt>
                <c:pt idx="105">
                  <c:v>-2.9556650246305494E-2</c:v>
                </c:pt>
                <c:pt idx="106">
                  <c:v>6.7437886157486693E-2</c:v>
                </c:pt>
                <c:pt idx="107">
                  <c:v>-6.3061953442542285E-2</c:v>
                </c:pt>
                <c:pt idx="108">
                  <c:v>-8.2806145503840911E-2</c:v>
                </c:pt>
                <c:pt idx="109">
                  <c:v>1.1888431641517982E-2</c:v>
                </c:pt>
                <c:pt idx="110">
                  <c:v>6.3269297135626346E-3</c:v>
                </c:pt>
                <c:pt idx="111">
                  <c:v>8.0009276437849053E-3</c:v>
                </c:pt>
                <c:pt idx="112">
                  <c:v>1.6981132075471583E-2</c:v>
                </c:pt>
                <c:pt idx="113">
                  <c:v>5.4595199602039512E-2</c:v>
                </c:pt>
                <c:pt idx="114">
                  <c:v>-2.886473429951697E-2</c:v>
                </c:pt>
                <c:pt idx="115">
                  <c:v>-6.9139966273187192E-2</c:v>
                </c:pt>
                <c:pt idx="116">
                  <c:v>-6.0341937646664068E-3</c:v>
                </c:pt>
                <c:pt idx="117">
                  <c:v>-5.7900831666491182E-2</c:v>
                </c:pt>
                <c:pt idx="118">
                  <c:v>3.8042903941668538E-3</c:v>
                </c:pt>
                <c:pt idx="119">
                  <c:v>3.2853088845230305E-2</c:v>
                </c:pt>
                <c:pt idx="120">
                  <c:v>-5.9632556707379658E-2</c:v>
                </c:pt>
                <c:pt idx="121">
                  <c:v>-2.4572540186341696E-3</c:v>
                </c:pt>
                <c:pt idx="122">
                  <c:v>1.2019479846647974E-2</c:v>
                </c:pt>
                <c:pt idx="123">
                  <c:v>-5.8622707764338533E-2</c:v>
                </c:pt>
                <c:pt idx="124">
                  <c:v>-1.6554679131366434E-3</c:v>
                </c:pt>
                <c:pt idx="125">
                  <c:v>1.4623060962355439E-2</c:v>
                </c:pt>
                <c:pt idx="126">
                  <c:v>-4.6223446105430055E-3</c:v>
                </c:pt>
                <c:pt idx="127">
                  <c:v>-8.651513790315335E-2</c:v>
                </c:pt>
                <c:pt idx="128">
                  <c:v>0.12867572500506985</c:v>
                </c:pt>
                <c:pt idx="129">
                  <c:v>-3.5972629521016541E-2</c:v>
                </c:pt>
                <c:pt idx="130">
                  <c:v>2.3511755877938967E-2</c:v>
                </c:pt>
                <c:pt idx="131">
                  <c:v>1.0015022533802487E-3</c:v>
                </c:pt>
                <c:pt idx="132">
                  <c:v>-7.2543191528887219E-2</c:v>
                </c:pt>
                <c:pt idx="133">
                  <c:v>-1.1840293712712335E-2</c:v>
                </c:pt>
                <c:pt idx="134">
                  <c:v>1.414874802196775E-2</c:v>
                </c:pt>
                <c:pt idx="135">
                  <c:v>-6.8983447439119439E-2</c:v>
                </c:pt>
                <c:pt idx="136">
                  <c:v>-2.228435858329092E-2</c:v>
                </c:pt>
                <c:pt idx="137">
                  <c:v>-3.1988188976378007E-2</c:v>
                </c:pt>
                <c:pt idx="138">
                  <c:v>-2.914476827520307E-2</c:v>
                </c:pt>
                <c:pt idx="139">
                  <c:v>0.10370891193531384</c:v>
                </c:pt>
                <c:pt idx="140">
                  <c:v>4.0988106129917767E-2</c:v>
                </c:pt>
                <c:pt idx="141">
                  <c:v>1.3632569785773985E-2</c:v>
                </c:pt>
                <c:pt idx="142">
                  <c:v>-9.8260578692088929E-2</c:v>
                </c:pt>
                <c:pt idx="143">
                  <c:v>5.6733828207847337E-2</c:v>
                </c:pt>
                <c:pt idx="144">
                  <c:v>1.8266894627913199E-2</c:v>
                </c:pt>
                <c:pt idx="145">
                  <c:v>-5.0333276363014878E-2</c:v>
                </c:pt>
                <c:pt idx="146">
                  <c:v>0.10188323917137465</c:v>
                </c:pt>
                <c:pt idx="147">
                  <c:v>-9.2850431365849362E-2</c:v>
                </c:pt>
                <c:pt idx="148">
                  <c:v>-9.9184364419821591E-2</c:v>
                </c:pt>
                <c:pt idx="149">
                  <c:v>-2.6859028470569424E-3</c:v>
                </c:pt>
                <c:pt idx="150">
                  <c:v>-3.6881005173688197E-2</c:v>
                </c:pt>
                <c:pt idx="151">
                  <c:v>0.21062992125984259</c:v>
                </c:pt>
                <c:pt idx="152">
                  <c:v>0.19978529253891564</c:v>
                </c:pt>
                <c:pt idx="153">
                  <c:v>-2.7458759657548515E-2</c:v>
                </c:pt>
                <c:pt idx="154">
                  <c:v>-9.7776940467219298E-2</c:v>
                </c:pt>
                <c:pt idx="155">
                  <c:v>1.2494039103481125E-2</c:v>
                </c:pt>
                <c:pt idx="156">
                  <c:v>-6.5378055713474215E-3</c:v>
                </c:pt>
                <c:pt idx="157">
                  <c:v>-0.11925227405491101</c:v>
                </c:pt>
                <c:pt idx="158">
                  <c:v>0.1242142790130405</c:v>
                </c:pt>
                <c:pt idx="159">
                  <c:v>-4.28340517241379E-2</c:v>
                </c:pt>
                <c:pt idx="160">
                  <c:v>0.15422885572139289</c:v>
                </c:pt>
                <c:pt idx="161">
                  <c:v>-0.10517529215358923</c:v>
                </c:pt>
                <c:pt idx="162">
                  <c:v>1.6498538700857823E-2</c:v>
                </c:pt>
                <c:pt idx="163">
                  <c:v>1.0190476190476083E-2</c:v>
                </c:pt>
                <c:pt idx="164">
                  <c:v>2.0011657276083117E-2</c:v>
                </c:pt>
                <c:pt idx="165">
                  <c:v>-2.5650733554188454E-2</c:v>
                </c:pt>
                <c:pt idx="166">
                  <c:v>-8.9930226548367576E-2</c:v>
                </c:pt>
                <c:pt idx="167">
                  <c:v>8.8615903975993948E-2</c:v>
                </c:pt>
                <c:pt idx="168">
                  <c:v>0.64061538461538459</c:v>
                </c:pt>
                <c:pt idx="169">
                  <c:v>-1.3806706114398382E-2</c:v>
                </c:pt>
                <c:pt idx="170">
                  <c:v>-1.9925650557620855E-2</c:v>
                </c:pt>
                <c:pt idx="171">
                  <c:v>-0.15642247867536374</c:v>
                </c:pt>
                <c:pt idx="172">
                  <c:v>-2.252816020025139E-3</c:v>
                </c:pt>
                <c:pt idx="173">
                  <c:v>5.5900621118012417E-2</c:v>
                </c:pt>
                <c:pt idx="174">
                  <c:v>-1.239885147481079E-2</c:v>
                </c:pt>
                <c:pt idx="175">
                  <c:v>-0.18920634920634916</c:v>
                </c:pt>
                <c:pt idx="176">
                  <c:v>-6.6113252297657854E-2</c:v>
                </c:pt>
                <c:pt idx="177">
                  <c:v>-7.9505139634312827E-2</c:v>
                </c:pt>
                <c:pt idx="178">
                  <c:v>8.2307768041744778E-2</c:v>
                </c:pt>
                <c:pt idx="179">
                  <c:v>-3.3219112887873714E-2</c:v>
                </c:pt>
                <c:pt idx="180">
                  <c:v>-8.7466342395552843E-2</c:v>
                </c:pt>
                <c:pt idx="181">
                  <c:v>-1.0412147505423075E-3</c:v>
                </c:pt>
                <c:pt idx="182">
                  <c:v>-0.16169624672679661</c:v>
                </c:pt>
                <c:pt idx="183">
                  <c:v>6.7722895309102249E-2</c:v>
                </c:pt>
                <c:pt idx="184">
                  <c:v>-2.2471910112361604E-3</c:v>
                </c:pt>
                <c:pt idx="185">
                  <c:v>-2.6625433700407264E-2</c:v>
                </c:pt>
                <c:pt idx="186">
                  <c:v>7.5431847326168366E-5</c:v>
                </c:pt>
                <c:pt idx="187">
                  <c:v>1.7031070195627107E-2</c:v>
                </c:pt>
                <c:pt idx="188">
                  <c:v>1.7326153125731603E-2</c:v>
                </c:pt>
                <c:pt idx="189">
                  <c:v>-3.6761389264772348E-2</c:v>
                </c:pt>
                <c:pt idx="190">
                  <c:v>1.7439192290041206E-2</c:v>
                </c:pt>
                <c:pt idx="191">
                  <c:v>-5.6301429190125485E-2</c:v>
                </c:pt>
                <c:pt idx="192">
                  <c:v>-7.3620862587763458E-2</c:v>
                </c:pt>
                <c:pt idx="193">
                  <c:v>0.11016257144978092</c:v>
                </c:pt>
                <c:pt idx="194">
                  <c:v>5.5803746375107766E-2</c:v>
                </c:pt>
                <c:pt idx="195">
                  <c:v>0.13746991174110734</c:v>
                </c:pt>
                <c:pt idx="196">
                  <c:v>-3.293387360979394E-2</c:v>
                </c:pt>
                <c:pt idx="197">
                  <c:v>-2.5130273995629615E-2</c:v>
                </c:pt>
                <c:pt idx="198">
                  <c:v>-7.9956696566656271E-2</c:v>
                </c:pt>
                <c:pt idx="199">
                  <c:v>-0.1970195591431233</c:v>
                </c:pt>
                <c:pt idx="200">
                  <c:v>4.3745949449125021E-2</c:v>
                </c:pt>
                <c:pt idx="201">
                  <c:v>0.102851833321421</c:v>
                </c:pt>
                <c:pt idx="202">
                  <c:v>-0.10423202509763752</c:v>
                </c:pt>
                <c:pt idx="203">
                  <c:v>1.1331261331261278E-2</c:v>
                </c:pt>
                <c:pt idx="204">
                  <c:v>1.6721527320605611E-2</c:v>
                </c:pt>
                <c:pt idx="205">
                  <c:v>-2.3025469513763719E-2</c:v>
                </c:pt>
                <c:pt idx="206">
                  <c:v>9.6551237745962304E-2</c:v>
                </c:pt>
                <c:pt idx="207">
                  <c:v>4.1073578358472584E-3</c:v>
                </c:pt>
                <c:pt idx="208">
                  <c:v>-0.11026400352844812</c:v>
                </c:pt>
                <c:pt idx="209">
                  <c:v>9.894751419471004E-2</c:v>
                </c:pt>
                <c:pt idx="210">
                  <c:v>-1.1566627883101921E-2</c:v>
                </c:pt>
                <c:pt idx="211">
                  <c:v>-1.4352104975394742E-3</c:v>
                </c:pt>
                <c:pt idx="212">
                  <c:v>-9.4049904030710119E-2</c:v>
                </c:pt>
                <c:pt idx="213">
                  <c:v>-5.4169594752869532E-2</c:v>
                </c:pt>
                <c:pt idx="214">
                  <c:v>-2.4563006969039236E-2</c:v>
                </c:pt>
                <c:pt idx="215">
                  <c:v>-6.5826807399841369E-3</c:v>
                </c:pt>
                <c:pt idx="216">
                  <c:v>-8.5048477632254649E-4</c:v>
                </c:pt>
                <c:pt idx="217">
                  <c:v>4.0224122677676055E-2</c:v>
                </c:pt>
                <c:pt idx="218">
                  <c:v>5.0690958666418817E-2</c:v>
                </c:pt>
                <c:pt idx="219">
                  <c:v>0.13194444444444442</c:v>
                </c:pt>
                <c:pt idx="220">
                  <c:v>2.1130291526394895E-2</c:v>
                </c:pt>
                <c:pt idx="221">
                  <c:v>2.4961456574407181E-2</c:v>
                </c:pt>
                <c:pt idx="222">
                  <c:v>-2.3584229390680944E-2</c:v>
                </c:pt>
                <c:pt idx="223">
                  <c:v>1.2201248833703104E-3</c:v>
                </c:pt>
                <c:pt idx="224">
                  <c:v>2.9557378260548273E-2</c:v>
                </c:pt>
                <c:pt idx="225">
                  <c:v>1.015152646114803E-2</c:v>
                </c:pt>
                <c:pt idx="226">
                  <c:v>-6.4455307262569761E-2</c:v>
                </c:pt>
                <c:pt idx="227">
                  <c:v>-1.1322838994752948E-2</c:v>
                </c:pt>
                <c:pt idx="228">
                  <c:v>2.0503064891143508E-2</c:v>
                </c:pt>
                <c:pt idx="229">
                  <c:v>-0.15778542606218848</c:v>
                </c:pt>
                <c:pt idx="230">
                  <c:v>-1.7146856409658184E-2</c:v>
                </c:pt>
                <c:pt idx="231">
                  <c:v>-3.4981343283579935E-4</c:v>
                </c:pt>
                <c:pt idx="232">
                  <c:v>2.0223649773970953E-2</c:v>
                </c:pt>
                <c:pt idx="233">
                  <c:v>-1.5114235500878648E-2</c:v>
                </c:pt>
                <c:pt idx="234">
                  <c:v>-7.4696444058976574E-2</c:v>
                </c:pt>
                <c:pt idx="235">
                  <c:v>5.5075779239347922E-2</c:v>
                </c:pt>
                <c:pt idx="236">
                  <c:v>-8.0004571689817894E-4</c:v>
                </c:pt>
                <c:pt idx="237">
                  <c:v>4.8220917694980381E-2</c:v>
                </c:pt>
                <c:pt idx="238">
                  <c:v>-0.15503365895631926</c:v>
                </c:pt>
                <c:pt idx="239">
                  <c:v>6.0084525688681722E-3</c:v>
                </c:pt>
                <c:pt idx="240">
                  <c:v>-1.2023342388570391E-2</c:v>
                </c:pt>
                <c:pt idx="241">
                  <c:v>4.7975537747785735E-2</c:v>
                </c:pt>
                <c:pt idx="242">
                  <c:v>4.9173073731954231E-2</c:v>
                </c:pt>
                <c:pt idx="243">
                  <c:v>-2.0480034675190995E-2</c:v>
                </c:pt>
                <c:pt idx="244">
                  <c:v>-2.0381083806591982E-2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D1-4AD4-B5A1-B8B732AF9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403792"/>
        <c:axId val="1929289808"/>
      </c:lineChart>
      <c:dateAx>
        <c:axId val="224403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9289808"/>
        <c:crosses val="autoZero"/>
        <c:auto val="0"/>
        <c:lblOffset val="100"/>
        <c:baseTimeUnit val="months"/>
        <c:majorUnit val="2"/>
        <c:majorTimeUnit val="years"/>
      </c:dateAx>
      <c:valAx>
        <c:axId val="192928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Variación mensual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440379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GRUMA — Tasa de crecimiento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GRUMA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Crecimiento!$A$2:$A$304</c:f>
              <c:numCache>
                <c:formatCode>m/d/yyyy</c:formatCode>
                <c:ptCount val="303"/>
                <c:pt idx="0">
                  <c:v>38776.041250000002</c:v>
                </c:pt>
                <c:pt idx="1">
                  <c:v>38807.041250000002</c:v>
                </c:pt>
                <c:pt idx="2">
                  <c:v>38835.041250000002</c:v>
                </c:pt>
                <c:pt idx="3">
                  <c:v>38868.041250000002</c:v>
                </c:pt>
                <c:pt idx="4">
                  <c:v>38898.041250000002</c:v>
                </c:pt>
                <c:pt idx="5">
                  <c:v>38929.041250000002</c:v>
                </c:pt>
                <c:pt idx="6">
                  <c:v>38960.041250000002</c:v>
                </c:pt>
                <c:pt idx="7">
                  <c:v>38989.041250000002</c:v>
                </c:pt>
                <c:pt idx="8">
                  <c:v>39021.041250000002</c:v>
                </c:pt>
                <c:pt idx="9">
                  <c:v>39051.041250000002</c:v>
                </c:pt>
                <c:pt idx="10">
                  <c:v>39080.041250000002</c:v>
                </c:pt>
                <c:pt idx="11">
                  <c:v>39113.041250000002</c:v>
                </c:pt>
                <c:pt idx="12">
                  <c:v>39141.041250000002</c:v>
                </c:pt>
                <c:pt idx="13">
                  <c:v>39171.041250000002</c:v>
                </c:pt>
                <c:pt idx="14">
                  <c:v>39202.041250000002</c:v>
                </c:pt>
                <c:pt idx="15">
                  <c:v>39233.041250000002</c:v>
                </c:pt>
                <c:pt idx="16">
                  <c:v>39262.041250000002</c:v>
                </c:pt>
                <c:pt idx="17">
                  <c:v>39294.041250000002</c:v>
                </c:pt>
                <c:pt idx="18">
                  <c:v>39325.041250000002</c:v>
                </c:pt>
                <c:pt idx="19">
                  <c:v>39353.041250000002</c:v>
                </c:pt>
                <c:pt idx="20">
                  <c:v>39386.041250000002</c:v>
                </c:pt>
                <c:pt idx="21">
                  <c:v>39416.041250000002</c:v>
                </c:pt>
                <c:pt idx="22">
                  <c:v>39447.041250000002</c:v>
                </c:pt>
                <c:pt idx="23">
                  <c:v>39478.041250000002</c:v>
                </c:pt>
                <c:pt idx="24">
                  <c:v>39507.041250000002</c:v>
                </c:pt>
                <c:pt idx="25">
                  <c:v>39538.041250000002</c:v>
                </c:pt>
                <c:pt idx="26">
                  <c:v>39568.041250000002</c:v>
                </c:pt>
                <c:pt idx="27">
                  <c:v>39598.041250000002</c:v>
                </c:pt>
                <c:pt idx="28">
                  <c:v>39629.041250000002</c:v>
                </c:pt>
                <c:pt idx="29">
                  <c:v>39660.041250000002</c:v>
                </c:pt>
                <c:pt idx="30">
                  <c:v>39689.041250000002</c:v>
                </c:pt>
                <c:pt idx="31">
                  <c:v>39721.041250000002</c:v>
                </c:pt>
                <c:pt idx="32">
                  <c:v>39752.041250000002</c:v>
                </c:pt>
                <c:pt idx="33">
                  <c:v>39780.041250000002</c:v>
                </c:pt>
                <c:pt idx="34">
                  <c:v>39813.041250000002</c:v>
                </c:pt>
                <c:pt idx="35">
                  <c:v>39843.041250000002</c:v>
                </c:pt>
                <c:pt idx="36">
                  <c:v>39871.041250000002</c:v>
                </c:pt>
                <c:pt idx="37">
                  <c:v>39903.041250000002</c:v>
                </c:pt>
                <c:pt idx="38">
                  <c:v>39933.041250000002</c:v>
                </c:pt>
                <c:pt idx="39">
                  <c:v>39962.041250000002</c:v>
                </c:pt>
                <c:pt idx="40">
                  <c:v>39994.041250000002</c:v>
                </c:pt>
                <c:pt idx="41">
                  <c:v>40025.041250000002</c:v>
                </c:pt>
                <c:pt idx="42">
                  <c:v>40056.041250000002</c:v>
                </c:pt>
                <c:pt idx="43">
                  <c:v>40086.041250000002</c:v>
                </c:pt>
                <c:pt idx="44">
                  <c:v>40116.041250000002</c:v>
                </c:pt>
                <c:pt idx="45">
                  <c:v>40147.041250000002</c:v>
                </c:pt>
                <c:pt idx="46">
                  <c:v>40178.041250000002</c:v>
                </c:pt>
                <c:pt idx="47">
                  <c:v>40207.041250000002</c:v>
                </c:pt>
                <c:pt idx="48">
                  <c:v>40235.041250000002</c:v>
                </c:pt>
                <c:pt idx="49">
                  <c:v>40268.041250000002</c:v>
                </c:pt>
                <c:pt idx="50">
                  <c:v>40298.041250000002</c:v>
                </c:pt>
                <c:pt idx="51">
                  <c:v>40329.041250000002</c:v>
                </c:pt>
                <c:pt idx="52">
                  <c:v>40359.041250000002</c:v>
                </c:pt>
                <c:pt idx="53">
                  <c:v>40389.041250000002</c:v>
                </c:pt>
                <c:pt idx="54">
                  <c:v>40421.041250000002</c:v>
                </c:pt>
                <c:pt idx="55">
                  <c:v>40451.041250000002</c:v>
                </c:pt>
                <c:pt idx="56">
                  <c:v>40480.041250000002</c:v>
                </c:pt>
                <c:pt idx="57">
                  <c:v>40512.041250000002</c:v>
                </c:pt>
                <c:pt idx="58">
                  <c:v>40543.041250000002</c:v>
                </c:pt>
                <c:pt idx="59">
                  <c:v>40574.041250000002</c:v>
                </c:pt>
                <c:pt idx="60">
                  <c:v>40602.041250000002</c:v>
                </c:pt>
                <c:pt idx="61">
                  <c:v>40633.041250000002</c:v>
                </c:pt>
                <c:pt idx="62">
                  <c:v>40662.041250000002</c:v>
                </c:pt>
                <c:pt idx="63">
                  <c:v>40694.041250000002</c:v>
                </c:pt>
                <c:pt idx="64">
                  <c:v>40724.041250000002</c:v>
                </c:pt>
                <c:pt idx="65">
                  <c:v>40753.041250000002</c:v>
                </c:pt>
                <c:pt idx="66">
                  <c:v>40786.041250000002</c:v>
                </c:pt>
                <c:pt idx="67">
                  <c:v>40816.041250000002</c:v>
                </c:pt>
                <c:pt idx="68">
                  <c:v>40847.041250000002</c:v>
                </c:pt>
                <c:pt idx="69">
                  <c:v>40877.041250000002</c:v>
                </c:pt>
                <c:pt idx="70">
                  <c:v>40907.041250000002</c:v>
                </c:pt>
                <c:pt idx="71">
                  <c:v>40939.041250000002</c:v>
                </c:pt>
                <c:pt idx="72">
                  <c:v>40968.041250000002</c:v>
                </c:pt>
                <c:pt idx="73">
                  <c:v>40998.041250000002</c:v>
                </c:pt>
                <c:pt idx="74">
                  <c:v>41029.041250000002</c:v>
                </c:pt>
                <c:pt idx="75">
                  <c:v>41060.041250000002</c:v>
                </c:pt>
                <c:pt idx="76">
                  <c:v>41089.041250000002</c:v>
                </c:pt>
                <c:pt idx="77">
                  <c:v>41121.041250000002</c:v>
                </c:pt>
                <c:pt idx="78">
                  <c:v>41152.041250000002</c:v>
                </c:pt>
                <c:pt idx="79">
                  <c:v>41180.041250000002</c:v>
                </c:pt>
                <c:pt idx="80">
                  <c:v>41213.041250000002</c:v>
                </c:pt>
                <c:pt idx="81">
                  <c:v>41243.041250000002</c:v>
                </c:pt>
                <c:pt idx="82">
                  <c:v>41274.041250000002</c:v>
                </c:pt>
                <c:pt idx="83">
                  <c:v>41305.041250000002</c:v>
                </c:pt>
                <c:pt idx="84">
                  <c:v>41333.041250000002</c:v>
                </c:pt>
                <c:pt idx="85">
                  <c:v>41360.041250000002</c:v>
                </c:pt>
                <c:pt idx="86">
                  <c:v>41394.041250000002</c:v>
                </c:pt>
                <c:pt idx="87">
                  <c:v>41425.041250000002</c:v>
                </c:pt>
                <c:pt idx="88">
                  <c:v>41453.041250000002</c:v>
                </c:pt>
                <c:pt idx="89">
                  <c:v>41486.041250000002</c:v>
                </c:pt>
                <c:pt idx="90">
                  <c:v>41516.041250000002</c:v>
                </c:pt>
                <c:pt idx="91">
                  <c:v>41547.041250000002</c:v>
                </c:pt>
                <c:pt idx="92">
                  <c:v>41578.041250000002</c:v>
                </c:pt>
                <c:pt idx="93">
                  <c:v>41607.041250000002</c:v>
                </c:pt>
                <c:pt idx="94">
                  <c:v>41639.041250000002</c:v>
                </c:pt>
                <c:pt idx="95">
                  <c:v>41670.041250000002</c:v>
                </c:pt>
                <c:pt idx="96">
                  <c:v>41698.041250000002</c:v>
                </c:pt>
                <c:pt idx="97">
                  <c:v>41729.041250000002</c:v>
                </c:pt>
                <c:pt idx="98">
                  <c:v>41759.041250000002</c:v>
                </c:pt>
                <c:pt idx="99">
                  <c:v>41789.041250000002</c:v>
                </c:pt>
                <c:pt idx="100">
                  <c:v>41820.041250000002</c:v>
                </c:pt>
                <c:pt idx="101">
                  <c:v>41851.041250000002</c:v>
                </c:pt>
                <c:pt idx="102">
                  <c:v>41880.041250000002</c:v>
                </c:pt>
                <c:pt idx="103">
                  <c:v>41912.041250000002</c:v>
                </c:pt>
                <c:pt idx="104">
                  <c:v>41943.041250000002</c:v>
                </c:pt>
                <c:pt idx="105">
                  <c:v>41971.041250000002</c:v>
                </c:pt>
                <c:pt idx="106">
                  <c:v>42004.041250000002</c:v>
                </c:pt>
                <c:pt idx="107">
                  <c:v>42034.041250000002</c:v>
                </c:pt>
                <c:pt idx="108">
                  <c:v>42062.041250000002</c:v>
                </c:pt>
                <c:pt idx="109">
                  <c:v>42094.041250000002</c:v>
                </c:pt>
                <c:pt idx="110">
                  <c:v>42124.041250000002</c:v>
                </c:pt>
                <c:pt idx="111">
                  <c:v>42153.041250000002</c:v>
                </c:pt>
                <c:pt idx="112">
                  <c:v>42185.041250000002</c:v>
                </c:pt>
                <c:pt idx="113">
                  <c:v>42216.041250000002</c:v>
                </c:pt>
                <c:pt idx="114">
                  <c:v>42247.041250000002</c:v>
                </c:pt>
                <c:pt idx="115">
                  <c:v>42277.041250000002</c:v>
                </c:pt>
                <c:pt idx="116">
                  <c:v>42307.041250000002</c:v>
                </c:pt>
                <c:pt idx="117">
                  <c:v>42338.041250000002</c:v>
                </c:pt>
                <c:pt idx="118">
                  <c:v>42369.041250000002</c:v>
                </c:pt>
                <c:pt idx="119">
                  <c:v>42398.041250000002</c:v>
                </c:pt>
                <c:pt idx="120">
                  <c:v>42429.041250000002</c:v>
                </c:pt>
                <c:pt idx="121">
                  <c:v>42460.041250000002</c:v>
                </c:pt>
                <c:pt idx="122">
                  <c:v>42489.041250000002</c:v>
                </c:pt>
                <c:pt idx="123">
                  <c:v>42521.041250000002</c:v>
                </c:pt>
                <c:pt idx="124">
                  <c:v>42551.041250000002</c:v>
                </c:pt>
                <c:pt idx="125">
                  <c:v>42580.041250000002</c:v>
                </c:pt>
                <c:pt idx="126">
                  <c:v>42613.041250000002</c:v>
                </c:pt>
                <c:pt idx="127">
                  <c:v>42643.041250000002</c:v>
                </c:pt>
                <c:pt idx="128">
                  <c:v>42674.041250000002</c:v>
                </c:pt>
                <c:pt idx="129">
                  <c:v>42704.041250000002</c:v>
                </c:pt>
                <c:pt idx="130">
                  <c:v>42734.041250000002</c:v>
                </c:pt>
                <c:pt idx="131">
                  <c:v>42766.041250000002</c:v>
                </c:pt>
                <c:pt idx="132">
                  <c:v>42794.041250000002</c:v>
                </c:pt>
                <c:pt idx="133">
                  <c:v>42825.041250000002</c:v>
                </c:pt>
                <c:pt idx="134">
                  <c:v>42853.041250000002</c:v>
                </c:pt>
                <c:pt idx="135">
                  <c:v>42886.041250000002</c:v>
                </c:pt>
                <c:pt idx="136">
                  <c:v>42916.041250000002</c:v>
                </c:pt>
                <c:pt idx="137">
                  <c:v>42947.041250000002</c:v>
                </c:pt>
                <c:pt idx="138">
                  <c:v>42978.041250000002</c:v>
                </c:pt>
                <c:pt idx="139">
                  <c:v>43007.041250000002</c:v>
                </c:pt>
                <c:pt idx="140">
                  <c:v>43039.041250000002</c:v>
                </c:pt>
                <c:pt idx="141">
                  <c:v>43069.041250000002</c:v>
                </c:pt>
                <c:pt idx="142">
                  <c:v>43098.041250000002</c:v>
                </c:pt>
                <c:pt idx="143">
                  <c:v>43131.041250000002</c:v>
                </c:pt>
                <c:pt idx="144">
                  <c:v>43159.041250000002</c:v>
                </c:pt>
                <c:pt idx="145">
                  <c:v>43187.041250000002</c:v>
                </c:pt>
                <c:pt idx="146">
                  <c:v>43220.041250000002</c:v>
                </c:pt>
                <c:pt idx="147">
                  <c:v>43251.041250000002</c:v>
                </c:pt>
                <c:pt idx="148">
                  <c:v>43280.041250000002</c:v>
                </c:pt>
                <c:pt idx="149">
                  <c:v>43312.041250000002</c:v>
                </c:pt>
                <c:pt idx="150">
                  <c:v>43343.041250000002</c:v>
                </c:pt>
                <c:pt idx="151">
                  <c:v>43371.041250000002</c:v>
                </c:pt>
                <c:pt idx="152">
                  <c:v>43404.041250000002</c:v>
                </c:pt>
                <c:pt idx="153">
                  <c:v>43434.041250000002</c:v>
                </c:pt>
                <c:pt idx="154">
                  <c:v>43465.041250000002</c:v>
                </c:pt>
                <c:pt idx="155">
                  <c:v>43496.041250000002</c:v>
                </c:pt>
                <c:pt idx="156">
                  <c:v>43524.041250000002</c:v>
                </c:pt>
                <c:pt idx="157">
                  <c:v>43553.041250000002</c:v>
                </c:pt>
                <c:pt idx="158">
                  <c:v>43585.041250000002</c:v>
                </c:pt>
                <c:pt idx="159">
                  <c:v>43616.041250000002</c:v>
                </c:pt>
                <c:pt idx="160">
                  <c:v>43644.041250000002</c:v>
                </c:pt>
                <c:pt idx="161">
                  <c:v>43677.041250000002</c:v>
                </c:pt>
                <c:pt idx="162">
                  <c:v>43707.041250000002</c:v>
                </c:pt>
                <c:pt idx="163">
                  <c:v>43738.041250000002</c:v>
                </c:pt>
                <c:pt idx="164">
                  <c:v>43769.041250000002</c:v>
                </c:pt>
                <c:pt idx="165">
                  <c:v>43798.041250000002</c:v>
                </c:pt>
                <c:pt idx="166">
                  <c:v>43830.041250000002</c:v>
                </c:pt>
                <c:pt idx="167">
                  <c:v>43861.041250000002</c:v>
                </c:pt>
                <c:pt idx="168">
                  <c:v>43889.041250000002</c:v>
                </c:pt>
                <c:pt idx="169">
                  <c:v>43921.041250000002</c:v>
                </c:pt>
                <c:pt idx="170">
                  <c:v>43951.041250000002</c:v>
                </c:pt>
                <c:pt idx="171">
                  <c:v>43980.041250000002</c:v>
                </c:pt>
                <c:pt idx="172">
                  <c:v>44012.041250000002</c:v>
                </c:pt>
                <c:pt idx="173">
                  <c:v>44043.041250000002</c:v>
                </c:pt>
                <c:pt idx="174">
                  <c:v>44074.041250000002</c:v>
                </c:pt>
                <c:pt idx="175">
                  <c:v>44104.041250000002</c:v>
                </c:pt>
                <c:pt idx="176">
                  <c:v>44134.041250000002</c:v>
                </c:pt>
                <c:pt idx="177">
                  <c:v>44165.041250000002</c:v>
                </c:pt>
                <c:pt idx="178">
                  <c:v>44196.041250000002</c:v>
                </c:pt>
                <c:pt idx="179">
                  <c:v>44225.041250000002</c:v>
                </c:pt>
                <c:pt idx="180">
                  <c:v>44253.041250000002</c:v>
                </c:pt>
                <c:pt idx="181">
                  <c:v>44286.041250000002</c:v>
                </c:pt>
                <c:pt idx="182">
                  <c:v>44316.041250000002</c:v>
                </c:pt>
                <c:pt idx="183">
                  <c:v>44347.041250000002</c:v>
                </c:pt>
                <c:pt idx="184">
                  <c:v>44377.041250000002</c:v>
                </c:pt>
                <c:pt idx="185">
                  <c:v>44407.041250000002</c:v>
                </c:pt>
                <c:pt idx="186">
                  <c:v>44439.041250000002</c:v>
                </c:pt>
                <c:pt idx="187">
                  <c:v>44469.041250000002</c:v>
                </c:pt>
                <c:pt idx="188">
                  <c:v>44498.041250000002</c:v>
                </c:pt>
                <c:pt idx="189">
                  <c:v>44530.041250000002</c:v>
                </c:pt>
                <c:pt idx="190">
                  <c:v>44561.041250000002</c:v>
                </c:pt>
                <c:pt idx="191">
                  <c:v>44592.041250000002</c:v>
                </c:pt>
                <c:pt idx="192">
                  <c:v>44620.041250000002</c:v>
                </c:pt>
                <c:pt idx="193">
                  <c:v>44651.041250000002</c:v>
                </c:pt>
                <c:pt idx="194">
                  <c:v>44680.041250000002</c:v>
                </c:pt>
                <c:pt idx="195">
                  <c:v>44712.041250000002</c:v>
                </c:pt>
                <c:pt idx="196">
                  <c:v>44742.041250000002</c:v>
                </c:pt>
                <c:pt idx="197">
                  <c:v>44771.041250000002</c:v>
                </c:pt>
                <c:pt idx="198">
                  <c:v>44804.041250000002</c:v>
                </c:pt>
                <c:pt idx="199">
                  <c:v>44834.041250000002</c:v>
                </c:pt>
                <c:pt idx="200">
                  <c:v>44865.041250000002</c:v>
                </c:pt>
                <c:pt idx="201">
                  <c:v>44895.041250000002</c:v>
                </c:pt>
                <c:pt idx="202">
                  <c:v>44925.041250000002</c:v>
                </c:pt>
                <c:pt idx="203">
                  <c:v>44957.041250000002</c:v>
                </c:pt>
                <c:pt idx="204">
                  <c:v>44985.041250000002</c:v>
                </c:pt>
                <c:pt idx="205">
                  <c:v>45016.041250000002</c:v>
                </c:pt>
                <c:pt idx="206">
                  <c:v>45044.041250000002</c:v>
                </c:pt>
                <c:pt idx="207">
                  <c:v>45077.041250000002</c:v>
                </c:pt>
                <c:pt idx="208">
                  <c:v>45107.041250000002</c:v>
                </c:pt>
                <c:pt idx="209">
                  <c:v>45138.041250000002</c:v>
                </c:pt>
                <c:pt idx="210">
                  <c:v>45169.041250000002</c:v>
                </c:pt>
                <c:pt idx="211">
                  <c:v>45198.041250000002</c:v>
                </c:pt>
                <c:pt idx="212">
                  <c:v>45230.041250000002</c:v>
                </c:pt>
                <c:pt idx="213">
                  <c:v>45260.041250000002</c:v>
                </c:pt>
                <c:pt idx="214">
                  <c:v>45289.041250000002</c:v>
                </c:pt>
                <c:pt idx="215">
                  <c:v>45322.041250000002</c:v>
                </c:pt>
                <c:pt idx="216">
                  <c:v>45351.041250000002</c:v>
                </c:pt>
                <c:pt idx="217">
                  <c:v>45378.041250000002</c:v>
                </c:pt>
                <c:pt idx="218">
                  <c:v>45412.041250000002</c:v>
                </c:pt>
                <c:pt idx="219">
                  <c:v>45443.041250000002</c:v>
                </c:pt>
                <c:pt idx="220">
                  <c:v>45471.041250000002</c:v>
                </c:pt>
                <c:pt idx="221">
                  <c:v>45504.041250000002</c:v>
                </c:pt>
                <c:pt idx="222">
                  <c:v>45534.041250000002</c:v>
                </c:pt>
                <c:pt idx="223">
                  <c:v>45565.041250000002</c:v>
                </c:pt>
                <c:pt idx="224">
                  <c:v>45596.041250000002</c:v>
                </c:pt>
                <c:pt idx="225">
                  <c:v>45625.041250000002</c:v>
                </c:pt>
                <c:pt idx="226">
                  <c:v>45657.041250000002</c:v>
                </c:pt>
                <c:pt idx="227">
                  <c:v>45688.041250000002</c:v>
                </c:pt>
                <c:pt idx="228">
                  <c:v>45716.041250000002</c:v>
                </c:pt>
                <c:pt idx="229">
                  <c:v>45747.041250000002</c:v>
                </c:pt>
                <c:pt idx="230">
                  <c:v>45777.041250000002</c:v>
                </c:pt>
                <c:pt idx="231">
                  <c:v>45807.041250000002</c:v>
                </c:pt>
                <c:pt idx="232">
                  <c:v>45838.041250000002</c:v>
                </c:pt>
                <c:pt idx="233">
                  <c:v>45869.041250000002</c:v>
                </c:pt>
                <c:pt idx="234">
                  <c:v>45898.041250000002</c:v>
                </c:pt>
                <c:pt idx="235">
                  <c:v>45930.041250000002</c:v>
                </c:pt>
                <c:pt idx="236">
                  <c:v>45961.041250000002</c:v>
                </c:pt>
                <c:pt idx="237">
                  <c:v>45989.041250000002</c:v>
                </c:pt>
                <c:pt idx="238">
                  <c:v>46022.041250000002</c:v>
                </c:pt>
                <c:pt idx="239">
                  <c:v>46052.041250000002</c:v>
                </c:pt>
                <c:pt idx="240">
                  <c:v>46080.041250000002</c:v>
                </c:pt>
                <c:pt idx="241">
                  <c:v>46112.041250000002</c:v>
                </c:pt>
                <c:pt idx="242">
                  <c:v>46142.041250000002</c:v>
                </c:pt>
                <c:pt idx="243">
                  <c:v>46171.041250000002</c:v>
                </c:pt>
                <c:pt idx="244">
                  <c:v>46203.041250000002</c:v>
                </c:pt>
                <c:pt idx="245">
                  <c:v>46209.041250000002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</c:numCache>
            </c:numRef>
          </c:cat>
          <c:val>
            <c:numRef>
              <c:f>Crecimiento!$G$2:$G$304</c:f>
              <c:numCache>
                <c:formatCode>0.0%</c:formatCode>
                <c:ptCount val="303"/>
                <c:pt idx="0">
                  <c:v>4.6284634760705101E-2</c:v>
                </c:pt>
                <c:pt idx="1">
                  <c:v>-7.2429906542056055E-2</c:v>
                </c:pt>
                <c:pt idx="2">
                  <c:v>0.22944344703770203</c:v>
                </c:pt>
                <c:pt idx="3">
                  <c:v>-8.5385878489326661E-2</c:v>
                </c:pt>
                <c:pt idx="4">
                  <c:v>-6.5090574147989022E-2</c:v>
                </c:pt>
                <c:pt idx="5">
                  <c:v>1.2296341838302638E-3</c:v>
                </c:pt>
                <c:pt idx="6">
                  <c:v>-1.9885507683036985E-2</c:v>
                </c:pt>
                <c:pt idx="7">
                  <c:v>-4.7632711621233947E-2</c:v>
                </c:pt>
                <c:pt idx="8">
                  <c:v>-5.6833558863328859E-2</c:v>
                </c:pt>
                <c:pt idx="9">
                  <c:v>-4.9395420632878717E-2</c:v>
                </c:pt>
                <c:pt idx="10">
                  <c:v>0.18253726802555525</c:v>
                </c:pt>
                <c:pt idx="11">
                  <c:v>-5.6002297530155176E-2</c:v>
                </c:pt>
                <c:pt idx="12">
                  <c:v>1.3977868375072644E-2</c:v>
                </c:pt>
                <c:pt idx="13">
                  <c:v>-4.8489886395123305E-2</c:v>
                </c:pt>
                <c:pt idx="14">
                  <c:v>-3.0620467365027992E-2</c:v>
                </c:pt>
                <c:pt idx="15">
                  <c:v>5.4674220963172759E-2</c:v>
                </c:pt>
                <c:pt idx="16">
                  <c:v>-0.11639549436796004</c:v>
                </c:pt>
                <c:pt idx="17">
                  <c:v>2.4358974358974494E-2</c:v>
                </c:pt>
                <c:pt idx="18">
                  <c:v>0.1130136986301371</c:v>
                </c:pt>
                <c:pt idx="19">
                  <c:v>-7.2279586973788779E-2</c:v>
                </c:pt>
                <c:pt idx="20">
                  <c:v>0.11844832691738238</c:v>
                </c:pt>
                <c:pt idx="21">
                  <c:v>-5.8019525801952576E-2</c:v>
                </c:pt>
                <c:pt idx="22">
                  <c:v>0.24134349030470914</c:v>
                </c:pt>
                <c:pt idx="23">
                  <c:v>-4.1486890142714894E-2</c:v>
                </c:pt>
                <c:pt idx="24">
                  <c:v>0.20135566188197762</c:v>
                </c:pt>
                <c:pt idx="25">
                  <c:v>-0.13187954309449645</c:v>
                </c:pt>
                <c:pt idx="26">
                  <c:v>-6.8665377176015396E-2</c:v>
                </c:pt>
                <c:pt idx="27">
                  <c:v>9.9220411055988667E-2</c:v>
                </c:pt>
                <c:pt idx="28">
                  <c:v>-1.5695849319846578E-2</c:v>
                </c:pt>
                <c:pt idx="29">
                  <c:v>-1.3080895008605764E-2</c:v>
                </c:pt>
                <c:pt idx="30">
                  <c:v>0.31447963800904977</c:v>
                </c:pt>
                <c:pt idx="31">
                  <c:v>1.6372315035799523</c:v>
                </c:pt>
                <c:pt idx="32">
                  <c:v>0.2892307692307694</c:v>
                </c:pt>
                <c:pt idx="33">
                  <c:v>-7.1428571428571397E-2</c:v>
                </c:pt>
                <c:pt idx="34">
                  <c:v>0.12540192926045024</c:v>
                </c:pt>
                <c:pt idx="35">
                  <c:v>0.26938775510204072</c:v>
                </c:pt>
                <c:pt idx="36">
                  <c:v>-7.7212806026365266E-2</c:v>
                </c:pt>
                <c:pt idx="37">
                  <c:v>-0.36634844868735095</c:v>
                </c:pt>
                <c:pt idx="38">
                  <c:v>-0.4204702627939142</c:v>
                </c:pt>
                <c:pt idx="39">
                  <c:v>3.1383737517831856E-2</c:v>
                </c:pt>
                <c:pt idx="40">
                  <c:v>-0.27055150884495316</c:v>
                </c:pt>
                <c:pt idx="41">
                  <c:v>-6.2439024390243958E-2</c:v>
                </c:pt>
                <c:pt idx="42">
                  <c:v>-0.13282571912013541</c:v>
                </c:pt>
                <c:pt idx="43">
                  <c:v>-2.595797280593326E-2</c:v>
                </c:pt>
                <c:pt idx="44">
                  <c:v>1.5906236919213113E-2</c:v>
                </c:pt>
                <c:pt idx="45">
                  <c:v>3.554399653229301E-2</c:v>
                </c:pt>
                <c:pt idx="46">
                  <c:v>-0.10581395348837208</c:v>
                </c:pt>
                <c:pt idx="47">
                  <c:v>2.3809523809523947E-2</c:v>
                </c:pt>
                <c:pt idx="48">
                  <c:v>-9.8389982110912322E-2</c:v>
                </c:pt>
                <c:pt idx="49">
                  <c:v>0.23345101500441312</c:v>
                </c:pt>
                <c:pt idx="50">
                  <c:v>0.15848670756646221</c:v>
                </c:pt>
                <c:pt idx="51">
                  <c:v>-2.0040080160320772E-2</c:v>
                </c:pt>
                <c:pt idx="52">
                  <c:v>5.4968287526427018E-2</c:v>
                </c:pt>
                <c:pt idx="53">
                  <c:v>7.62229806598409E-2</c:v>
                </c:pt>
                <c:pt idx="54">
                  <c:v>-2.2790439132851614E-2</c:v>
                </c:pt>
                <c:pt idx="55">
                  <c:v>-0.25845012366034636</c:v>
                </c:pt>
                <c:pt idx="56">
                  <c:v>5.1582141309059359E-2</c:v>
                </c:pt>
                <c:pt idx="57">
                  <c:v>-6.031882809134026E-3</c:v>
                </c:pt>
                <c:pt idx="58">
                  <c:v>-0.11883067577828399</c:v>
                </c:pt>
                <c:pt idx="59">
                  <c:v>6.8993506493506551E-2</c:v>
                </c:pt>
                <c:pt idx="60">
                  <c:v>-1.2820512820512886E-2</c:v>
                </c:pt>
                <c:pt idx="61">
                  <c:v>8.2863340563991361E-2</c:v>
                </c:pt>
                <c:pt idx="62">
                  <c:v>0.10657705232837267</c:v>
                </c:pt>
                <c:pt idx="63">
                  <c:v>-0.14209225700164752</c:v>
                </c:pt>
                <c:pt idx="64">
                  <c:v>-1.9386106623586419E-2</c:v>
                </c:pt>
                <c:pt idx="65">
                  <c:v>2.4410426148117503E-2</c:v>
                </c:pt>
                <c:pt idx="66">
                  <c:v>-8.6136177194420238E-3</c:v>
                </c:pt>
                <c:pt idx="67">
                  <c:v>-6.4107485604606551E-2</c:v>
                </c:pt>
                <c:pt idx="68">
                  <c:v>-7.0306923625981455E-2</c:v>
                </c:pt>
                <c:pt idx="69">
                  <c:v>6.1363636363636509E-2</c:v>
                </c:pt>
                <c:pt idx="70">
                  <c:v>-8.4604715672676911E-2</c:v>
                </c:pt>
                <c:pt idx="71">
                  <c:v>-8.2113303628262302E-2</c:v>
                </c:pt>
                <c:pt idx="72">
                  <c:v>-8.6362314626344805E-2</c:v>
                </c:pt>
                <c:pt idx="73">
                  <c:v>-4.7368421052631615E-2</c:v>
                </c:pt>
                <c:pt idx="74">
                  <c:v>0.15041427660930529</c:v>
                </c:pt>
                <c:pt idx="75">
                  <c:v>-4.1539401343921867E-2</c:v>
                </c:pt>
                <c:pt idx="76">
                  <c:v>-5.9195402298850452E-2</c:v>
                </c:pt>
                <c:pt idx="77">
                  <c:v>-3.037057676232946E-2</c:v>
                </c:pt>
                <c:pt idx="78">
                  <c:v>-1.4552443712246066E-2</c:v>
                </c:pt>
                <c:pt idx="79">
                  <c:v>-4.684637529442548E-2</c:v>
                </c:pt>
                <c:pt idx="80">
                  <c:v>4.6276013143482952E-2</c:v>
                </c:pt>
                <c:pt idx="81">
                  <c:v>-6.7653816696451319E-2</c:v>
                </c:pt>
                <c:pt idx="82">
                  <c:v>-7.7484691474328793E-2</c:v>
                </c:pt>
                <c:pt idx="83">
                  <c:v>-5.623471882640585E-2</c:v>
                </c:pt>
                <c:pt idx="84">
                  <c:v>-0.17615821278154176</c:v>
                </c:pt>
                <c:pt idx="85">
                  <c:v>-9.9587798845836795E-2</c:v>
                </c:pt>
                <c:pt idx="86">
                  <c:v>5.975886772671668E-2</c:v>
                </c:pt>
                <c:pt idx="87">
                  <c:v>-2.7031621897313896E-2</c:v>
                </c:pt>
                <c:pt idx="88">
                  <c:v>-0.13065326633165819</c:v>
                </c:pt>
                <c:pt idx="89">
                  <c:v>-2.0981044711329777E-2</c:v>
                </c:pt>
                <c:pt idx="90">
                  <c:v>-5.3546973431936373E-2</c:v>
                </c:pt>
                <c:pt idx="91">
                  <c:v>-0.18340416014314476</c:v>
                </c:pt>
                <c:pt idx="92">
                  <c:v>-2.8043478260869503E-2</c:v>
                </c:pt>
                <c:pt idx="93">
                  <c:v>-6.8637375987041893E-2</c:v>
                </c:pt>
                <c:pt idx="94">
                  <c:v>-9.1594629391208326E-2</c:v>
                </c:pt>
                <c:pt idx="95">
                  <c:v>4.1171964764457947E-2</c:v>
                </c:pt>
                <c:pt idx="96">
                  <c:v>-3.2873414205018991E-2</c:v>
                </c:pt>
                <c:pt idx="97">
                  <c:v>-6.5668800830593566E-2</c:v>
                </c:pt>
                <c:pt idx="98">
                  <c:v>-0.1458764410286727</c:v>
                </c:pt>
                <c:pt idx="99">
                  <c:v>-0.12837359098228673</c:v>
                </c:pt>
                <c:pt idx="100">
                  <c:v>7.3057782692839357E-2</c:v>
                </c:pt>
                <c:pt idx="101">
                  <c:v>-3.0099886036066059E-2</c:v>
                </c:pt>
                <c:pt idx="102">
                  <c:v>4.0382201143813523E-2</c:v>
                </c:pt>
                <c:pt idx="103">
                  <c:v>-3.3110796412435084E-2</c:v>
                </c:pt>
                <c:pt idx="104">
                  <c:v>-3.2807200626141397E-2</c:v>
                </c:pt>
                <c:pt idx="105">
                  <c:v>-2.5425883549453299E-2</c:v>
                </c:pt>
                <c:pt idx="106">
                  <c:v>-3.1042128603104291E-2</c:v>
                </c:pt>
                <c:pt idx="107">
                  <c:v>-0.11341669852017677</c:v>
                </c:pt>
                <c:pt idx="108">
                  <c:v>-5.42759760380086E-2</c:v>
                </c:pt>
                <c:pt idx="109">
                  <c:v>4.6759284285637026E-2</c:v>
                </c:pt>
                <c:pt idx="110">
                  <c:v>-9.0242942854332653E-2</c:v>
                </c:pt>
                <c:pt idx="111">
                  <c:v>6.7831856216269415E-3</c:v>
                </c:pt>
                <c:pt idx="112">
                  <c:v>-4.3294964710340667E-2</c:v>
                </c:pt>
                <c:pt idx="113">
                  <c:v>-6.2233475479744116E-2</c:v>
                </c:pt>
                <c:pt idx="114">
                  <c:v>-4.1226575809199306E-2</c:v>
                </c:pt>
                <c:pt idx="115">
                  <c:v>-7.8854452726559443E-2</c:v>
                </c:pt>
                <c:pt idx="116">
                  <c:v>5.6405155621865877E-2</c:v>
                </c:pt>
                <c:pt idx="117">
                  <c:v>-1.9027921406411519E-3</c:v>
                </c:pt>
                <c:pt idx="118">
                  <c:v>-0.12026928675400295</c:v>
                </c:pt>
                <c:pt idx="119">
                  <c:v>-5.670740079637504E-2</c:v>
                </c:pt>
                <c:pt idx="120">
                  <c:v>6.4338168134156604E-2</c:v>
                </c:pt>
                <c:pt idx="121">
                  <c:v>8.9046273823260025E-2</c:v>
                </c:pt>
                <c:pt idx="122">
                  <c:v>-5.2728780340720594E-2</c:v>
                </c:pt>
                <c:pt idx="123">
                  <c:v>5.7619408642910486E-3</c:v>
                </c:pt>
                <c:pt idx="124">
                  <c:v>-2.1767345273853267E-2</c:v>
                </c:pt>
                <c:pt idx="125">
                  <c:v>7.7602397602397621E-2</c:v>
                </c:pt>
                <c:pt idx="126">
                  <c:v>-1.8396485447556232E-2</c:v>
                </c:pt>
                <c:pt idx="127">
                  <c:v>-2.7874165872259327E-2</c:v>
                </c:pt>
                <c:pt idx="128">
                  <c:v>6.6013576683874753E-2</c:v>
                </c:pt>
                <c:pt idx="129">
                  <c:v>-6.4956290383884618E-2</c:v>
                </c:pt>
                <c:pt idx="130">
                  <c:v>-6.2266101151227771E-2</c:v>
                </c:pt>
                <c:pt idx="131">
                  <c:v>5.907443756605768E-2</c:v>
                </c:pt>
                <c:pt idx="132">
                  <c:v>5.3508405753104338E-3</c:v>
                </c:pt>
                <c:pt idx="133">
                  <c:v>4.8253639907709367E-2</c:v>
                </c:pt>
                <c:pt idx="134">
                  <c:v>3.342240493319637E-2</c:v>
                </c:pt>
                <c:pt idx="135">
                  <c:v>2.7758999492986325E-2</c:v>
                </c:pt>
                <c:pt idx="136">
                  <c:v>-3.7455772906584195E-2</c:v>
                </c:pt>
                <c:pt idx="137">
                  <c:v>-6.2275951491114534E-2</c:v>
                </c:pt>
                <c:pt idx="138">
                  <c:v>-1.5062164294031399E-2</c:v>
                </c:pt>
                <c:pt idx="139">
                  <c:v>6.0128220443595115E-2</c:v>
                </c:pt>
                <c:pt idx="140">
                  <c:v>8.6954639889196716E-2</c:v>
                </c:pt>
                <c:pt idx="141">
                  <c:v>-7.3245086241476187E-2</c:v>
                </c:pt>
                <c:pt idx="142">
                  <c:v>0.12145748987854255</c:v>
                </c:pt>
                <c:pt idx="143">
                  <c:v>1.8790100824931377E-2</c:v>
                </c:pt>
                <c:pt idx="144">
                  <c:v>4.6171549120199495E-2</c:v>
                </c:pt>
                <c:pt idx="145">
                  <c:v>-8.6941294926235702E-2</c:v>
                </c:pt>
                <c:pt idx="146">
                  <c:v>9.2182644035381234E-2</c:v>
                </c:pt>
                <c:pt idx="147">
                  <c:v>-0.13894606834088097</c:v>
                </c:pt>
                <c:pt idx="148">
                  <c:v>6.8811142430773575E-3</c:v>
                </c:pt>
                <c:pt idx="149">
                  <c:v>-3.3464160297459467E-3</c:v>
                </c:pt>
                <c:pt idx="150">
                  <c:v>1.1745527503761899E-2</c:v>
                </c:pt>
                <c:pt idx="151">
                  <c:v>0.12849056603773579</c:v>
                </c:pt>
                <c:pt idx="152">
                  <c:v>-4.8900852400179495E-2</c:v>
                </c:pt>
                <c:pt idx="153">
                  <c:v>8.9806915132473186E-4</c:v>
                </c:pt>
                <c:pt idx="154">
                  <c:v>-4.4082929132506332E-2</c:v>
                </c:pt>
                <c:pt idx="155">
                  <c:v>0.11554299942539736</c:v>
                </c:pt>
                <c:pt idx="156">
                  <c:v>5.3683148335015307E-2</c:v>
                </c:pt>
                <c:pt idx="157">
                  <c:v>4.5965486305345804E-2</c:v>
                </c:pt>
                <c:pt idx="158">
                  <c:v>1.3803434808196569E-2</c:v>
                </c:pt>
                <c:pt idx="159">
                  <c:v>3.7581880759409492E-2</c:v>
                </c:pt>
                <c:pt idx="160">
                  <c:v>2.5678984228207025E-2</c:v>
                </c:pt>
                <c:pt idx="161">
                  <c:v>-5.9091396121290107E-2</c:v>
                </c:pt>
                <c:pt idx="162">
                  <c:v>-7.5666039417648823E-2</c:v>
                </c:pt>
                <c:pt idx="163">
                  <c:v>4.4587565023523901E-4</c:v>
                </c:pt>
                <c:pt idx="164">
                  <c:v>2.4619289340101602E-2</c:v>
                </c:pt>
                <c:pt idx="165">
                  <c:v>1.4783907690722797E-2</c:v>
                </c:pt>
                <c:pt idx="166">
                  <c:v>-3.3217131474103656E-2</c:v>
                </c:pt>
                <c:pt idx="167">
                  <c:v>6.2096688881836393E-2</c:v>
                </c:pt>
                <c:pt idx="168">
                  <c:v>4.0678152694445968E-2</c:v>
                </c:pt>
                <c:pt idx="169">
                  <c:v>-0.20595305738887193</c:v>
                </c:pt>
                <c:pt idx="170">
                  <c:v>3.9576517629952734E-2</c:v>
                </c:pt>
                <c:pt idx="171">
                  <c:v>-0.11275952428945779</c:v>
                </c:pt>
                <c:pt idx="172">
                  <c:v>-5.0162741719318227E-2</c:v>
                </c:pt>
                <c:pt idx="173">
                  <c:v>9.0413817085892578E-3</c:v>
                </c:pt>
                <c:pt idx="174">
                  <c:v>5.6151805753927642E-2</c:v>
                </c:pt>
                <c:pt idx="175">
                  <c:v>8.6166393333628744E-2</c:v>
                </c:pt>
                <c:pt idx="176">
                  <c:v>1.4570310743355686E-2</c:v>
                </c:pt>
                <c:pt idx="177">
                  <c:v>-6.1452749757312297E-2</c:v>
                </c:pt>
                <c:pt idx="178">
                  <c:v>5.2741491157913378E-2</c:v>
                </c:pt>
                <c:pt idx="179">
                  <c:v>-1.298131742829578E-2</c:v>
                </c:pt>
                <c:pt idx="180">
                  <c:v>-5.538754712291305E-2</c:v>
                </c:pt>
                <c:pt idx="181">
                  <c:v>9.5782831721821227E-2</c:v>
                </c:pt>
                <c:pt idx="182">
                  <c:v>1.4974198304460007E-2</c:v>
                </c:pt>
                <c:pt idx="183">
                  <c:v>-2.5896503747587674E-2</c:v>
                </c:pt>
                <c:pt idx="184">
                  <c:v>3.4497167796452732E-2</c:v>
                </c:pt>
                <c:pt idx="185">
                  <c:v>-6.0993155164145274E-2</c:v>
                </c:pt>
                <c:pt idx="186">
                  <c:v>-2.9327126534066883E-2</c:v>
                </c:pt>
                <c:pt idx="187">
                  <c:v>-2.2543950361944121E-2</c:v>
                </c:pt>
                <c:pt idx="188">
                  <c:v>-6.9870339732984621E-2</c:v>
                </c:pt>
                <c:pt idx="189">
                  <c:v>-9.9420996495503955E-3</c:v>
                </c:pt>
                <c:pt idx="190">
                  <c:v>-2.6982950333580558E-2</c:v>
                </c:pt>
                <c:pt idx="191">
                  <c:v>-2.8692803398495004E-2</c:v>
                </c:pt>
                <c:pt idx="192">
                  <c:v>0.11041375174895052</c:v>
                </c:pt>
                <c:pt idx="193">
                  <c:v>3.201452205123978E-2</c:v>
                </c:pt>
                <c:pt idx="194">
                  <c:v>3.6474813991276722E-2</c:v>
                </c:pt>
                <c:pt idx="195">
                  <c:v>5.0820040440350489E-2</c:v>
                </c:pt>
                <c:pt idx="196">
                  <c:v>-0.12205609688745112</c:v>
                </c:pt>
                <c:pt idx="197">
                  <c:v>0.1546941192547715</c:v>
                </c:pt>
                <c:pt idx="198">
                  <c:v>0.13805080352514243</c:v>
                </c:pt>
                <c:pt idx="199">
                  <c:v>-0.16068398381412352</c:v>
                </c:pt>
                <c:pt idx="200">
                  <c:v>-4.5675372669517933E-2</c:v>
                </c:pt>
                <c:pt idx="201">
                  <c:v>-7.6359591930658888E-2</c:v>
                </c:pt>
                <c:pt idx="202">
                  <c:v>-4.8011975610646518E-2</c:v>
                </c:pt>
                <c:pt idx="203">
                  <c:v>2.1177435591514193E-2</c:v>
                </c:pt>
                <c:pt idx="204">
                  <c:v>8.9151369244657719E-3</c:v>
                </c:pt>
                <c:pt idx="205">
                  <c:v>-5.5395657890061623E-2</c:v>
                </c:pt>
                <c:pt idx="206">
                  <c:v>3.5125790790054401E-2</c:v>
                </c:pt>
                <c:pt idx="207">
                  <c:v>-1.0553897663585277E-2</c:v>
                </c:pt>
                <c:pt idx="208">
                  <c:v>-8.5225381183833937E-2</c:v>
                </c:pt>
                <c:pt idx="209">
                  <c:v>5.533499631100014E-2</c:v>
                </c:pt>
                <c:pt idx="210">
                  <c:v>-4.6401768962744616E-2</c:v>
                </c:pt>
                <c:pt idx="211">
                  <c:v>-4.8608676250278871E-2</c:v>
                </c:pt>
                <c:pt idx="212">
                  <c:v>-2.5319995029203346E-2</c:v>
                </c:pt>
                <c:pt idx="213">
                  <c:v>3.4518223307835827E-2</c:v>
                </c:pt>
                <c:pt idx="214">
                  <c:v>-3.4326505276225938E-2</c:v>
                </c:pt>
                <c:pt idx="215">
                  <c:v>6.1509570717886319E-2</c:v>
                </c:pt>
                <c:pt idx="216">
                  <c:v>-2.3014033732457917E-2</c:v>
                </c:pt>
                <c:pt idx="217">
                  <c:v>-7.6621292278428288E-2</c:v>
                </c:pt>
                <c:pt idx="218">
                  <c:v>2.1743091406012605E-2</c:v>
                </c:pt>
                <c:pt idx="219">
                  <c:v>-1.3451571347254276E-2</c:v>
                </c:pt>
                <c:pt idx="220">
                  <c:v>-4.1714515388148743E-2</c:v>
                </c:pt>
                <c:pt idx="221">
                  <c:v>-3.6272583902830502E-2</c:v>
                </c:pt>
                <c:pt idx="222">
                  <c:v>-1.148702239969368E-2</c:v>
                </c:pt>
                <c:pt idx="223">
                  <c:v>5.7834741349380936E-2</c:v>
                </c:pt>
                <c:pt idx="224">
                  <c:v>1.9712430426717109E-3</c:v>
                </c:pt>
                <c:pt idx="225">
                  <c:v>5.8484197606627708E-2</c:v>
                </c:pt>
                <c:pt idx="226">
                  <c:v>-9.2529167710856841E-2</c:v>
                </c:pt>
                <c:pt idx="227">
                  <c:v>1.1890338395649458E-2</c:v>
                </c:pt>
                <c:pt idx="228">
                  <c:v>-3.9537778739986873E-2</c:v>
                </c:pt>
                <c:pt idx="229">
                  <c:v>-1.3982281993809353E-2</c:v>
                </c:pt>
                <c:pt idx="230">
                  <c:v>2.5307105140762287E-2</c:v>
                </c:pt>
                <c:pt idx="231">
                  <c:v>0.12891867683849645</c:v>
                </c:pt>
                <c:pt idx="232">
                  <c:v>-6.9623359097044091E-3</c:v>
                </c:pt>
                <c:pt idx="233">
                  <c:v>1.611244429208103E-2</c:v>
                </c:pt>
                <c:pt idx="234">
                  <c:v>-5.6209188775810381E-2</c:v>
                </c:pt>
                <c:pt idx="235">
                  <c:v>7.8308858511211943E-2</c:v>
                </c:pt>
                <c:pt idx="236">
                  <c:v>-2.5589516951509683E-2</c:v>
                </c:pt>
                <c:pt idx="237">
                  <c:v>4.2966735430634229E-2</c:v>
                </c:pt>
                <c:pt idx="238">
                  <c:v>-1.4140900568813675E-2</c:v>
                </c:pt>
                <c:pt idx="239">
                  <c:v>1.9271879251149704E-2</c:v>
                </c:pt>
                <c:pt idx="240">
                  <c:v>-6.0581165373497559E-2</c:v>
                </c:pt>
                <c:pt idx="241">
                  <c:v>8.4081013326296139E-2</c:v>
                </c:pt>
                <c:pt idx="242">
                  <c:v>4.2646856513963494E-2</c:v>
                </c:pt>
                <c:pt idx="243">
                  <c:v>3.4954082722289392E-2</c:v>
                </c:pt>
                <c:pt idx="244">
                  <c:v>-8.0853016982664894E-3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A4-42CF-BC8C-925D492E2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473856"/>
        <c:axId val="1929069968"/>
      </c:lineChart>
      <c:dateAx>
        <c:axId val="224473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9069968"/>
        <c:crosses val="autoZero"/>
        <c:auto val="0"/>
        <c:lblOffset val="100"/>
        <c:baseTimeUnit val="months"/>
        <c:majorUnit val="2"/>
        <c:majorTimeUnit val="years"/>
      </c:dateAx>
      <c:valAx>
        <c:axId val="192906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Variación mensual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44738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HERDEZ — Tasa de crecimiento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HERDEZ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Crecimiento!$A$2:$A$304</c:f>
              <c:numCache>
                <c:formatCode>m/d/yyyy</c:formatCode>
                <c:ptCount val="303"/>
                <c:pt idx="0">
                  <c:v>38776.041250000002</c:v>
                </c:pt>
                <c:pt idx="1">
                  <c:v>38807.041250000002</c:v>
                </c:pt>
                <c:pt idx="2">
                  <c:v>38835.041250000002</c:v>
                </c:pt>
                <c:pt idx="3">
                  <c:v>38868.041250000002</c:v>
                </c:pt>
                <c:pt idx="4">
                  <c:v>38898.041250000002</c:v>
                </c:pt>
                <c:pt idx="5">
                  <c:v>38929.041250000002</c:v>
                </c:pt>
                <c:pt idx="6">
                  <c:v>38960.041250000002</c:v>
                </c:pt>
                <c:pt idx="7">
                  <c:v>38989.041250000002</c:v>
                </c:pt>
                <c:pt idx="8">
                  <c:v>39021.041250000002</c:v>
                </c:pt>
                <c:pt idx="9">
                  <c:v>39051.041250000002</c:v>
                </c:pt>
                <c:pt idx="10">
                  <c:v>39080.041250000002</c:v>
                </c:pt>
                <c:pt idx="11">
                  <c:v>39113.041250000002</c:v>
                </c:pt>
                <c:pt idx="12">
                  <c:v>39141.041250000002</c:v>
                </c:pt>
                <c:pt idx="13">
                  <c:v>39171.041250000002</c:v>
                </c:pt>
                <c:pt idx="14">
                  <c:v>39202.041250000002</c:v>
                </c:pt>
                <c:pt idx="15">
                  <c:v>39233.041250000002</c:v>
                </c:pt>
                <c:pt idx="16">
                  <c:v>39262.041250000002</c:v>
                </c:pt>
                <c:pt idx="17">
                  <c:v>39294.041250000002</c:v>
                </c:pt>
                <c:pt idx="18">
                  <c:v>39325.041250000002</c:v>
                </c:pt>
                <c:pt idx="19">
                  <c:v>39353.041250000002</c:v>
                </c:pt>
                <c:pt idx="20">
                  <c:v>39386.041250000002</c:v>
                </c:pt>
                <c:pt idx="21">
                  <c:v>39416.041250000002</c:v>
                </c:pt>
                <c:pt idx="22">
                  <c:v>39447.041250000002</c:v>
                </c:pt>
                <c:pt idx="23">
                  <c:v>39478.041250000002</c:v>
                </c:pt>
                <c:pt idx="24">
                  <c:v>39507.041250000002</c:v>
                </c:pt>
                <c:pt idx="25">
                  <c:v>39538.041250000002</c:v>
                </c:pt>
                <c:pt idx="26">
                  <c:v>39568.041250000002</c:v>
                </c:pt>
                <c:pt idx="27">
                  <c:v>39598.041250000002</c:v>
                </c:pt>
                <c:pt idx="28">
                  <c:v>39629.041250000002</c:v>
                </c:pt>
                <c:pt idx="29">
                  <c:v>39660.041250000002</c:v>
                </c:pt>
                <c:pt idx="30">
                  <c:v>39689.041250000002</c:v>
                </c:pt>
                <c:pt idx="31">
                  <c:v>39721.041250000002</c:v>
                </c:pt>
                <c:pt idx="32">
                  <c:v>39752.041250000002</c:v>
                </c:pt>
                <c:pt idx="33">
                  <c:v>39780.041250000002</c:v>
                </c:pt>
                <c:pt idx="34">
                  <c:v>39813.041250000002</c:v>
                </c:pt>
                <c:pt idx="35">
                  <c:v>39843.041250000002</c:v>
                </c:pt>
                <c:pt idx="36">
                  <c:v>39871.041250000002</c:v>
                </c:pt>
                <c:pt idx="37">
                  <c:v>39903.041250000002</c:v>
                </c:pt>
                <c:pt idx="38">
                  <c:v>39933.041250000002</c:v>
                </c:pt>
                <c:pt idx="39">
                  <c:v>39962.041250000002</c:v>
                </c:pt>
                <c:pt idx="40">
                  <c:v>39994.041250000002</c:v>
                </c:pt>
                <c:pt idx="41">
                  <c:v>40025.041250000002</c:v>
                </c:pt>
                <c:pt idx="42">
                  <c:v>40056.041250000002</c:v>
                </c:pt>
                <c:pt idx="43">
                  <c:v>40086.041250000002</c:v>
                </c:pt>
                <c:pt idx="44">
                  <c:v>40116.041250000002</c:v>
                </c:pt>
                <c:pt idx="45">
                  <c:v>40147.041250000002</c:v>
                </c:pt>
                <c:pt idx="46">
                  <c:v>40178.041250000002</c:v>
                </c:pt>
                <c:pt idx="47">
                  <c:v>40207.041250000002</c:v>
                </c:pt>
                <c:pt idx="48">
                  <c:v>40235.041250000002</c:v>
                </c:pt>
                <c:pt idx="49">
                  <c:v>40268.041250000002</c:v>
                </c:pt>
                <c:pt idx="50">
                  <c:v>40298.041250000002</c:v>
                </c:pt>
                <c:pt idx="51">
                  <c:v>40329.041250000002</c:v>
                </c:pt>
                <c:pt idx="52">
                  <c:v>40359.041250000002</c:v>
                </c:pt>
                <c:pt idx="53">
                  <c:v>40389.041250000002</c:v>
                </c:pt>
                <c:pt idx="54">
                  <c:v>40421.041250000002</c:v>
                </c:pt>
                <c:pt idx="55">
                  <c:v>40451.041250000002</c:v>
                </c:pt>
                <c:pt idx="56">
                  <c:v>40480.041250000002</c:v>
                </c:pt>
                <c:pt idx="57">
                  <c:v>40512.041250000002</c:v>
                </c:pt>
                <c:pt idx="58">
                  <c:v>40543.041250000002</c:v>
                </c:pt>
                <c:pt idx="59">
                  <c:v>40574.041250000002</c:v>
                </c:pt>
                <c:pt idx="60">
                  <c:v>40602.041250000002</c:v>
                </c:pt>
                <c:pt idx="61">
                  <c:v>40633.041250000002</c:v>
                </c:pt>
                <c:pt idx="62">
                  <c:v>40662.041250000002</c:v>
                </c:pt>
                <c:pt idx="63">
                  <c:v>40694.041250000002</c:v>
                </c:pt>
                <c:pt idx="64">
                  <c:v>40724.041250000002</c:v>
                </c:pt>
                <c:pt idx="65">
                  <c:v>40753.041250000002</c:v>
                </c:pt>
                <c:pt idx="66">
                  <c:v>40786.041250000002</c:v>
                </c:pt>
                <c:pt idx="67">
                  <c:v>40816.041250000002</c:v>
                </c:pt>
                <c:pt idx="68">
                  <c:v>40847.041250000002</c:v>
                </c:pt>
                <c:pt idx="69">
                  <c:v>40877.041250000002</c:v>
                </c:pt>
                <c:pt idx="70">
                  <c:v>40907.041250000002</c:v>
                </c:pt>
                <c:pt idx="71">
                  <c:v>40939.041250000002</c:v>
                </c:pt>
                <c:pt idx="72">
                  <c:v>40968.041250000002</c:v>
                </c:pt>
                <c:pt idx="73">
                  <c:v>40998.041250000002</c:v>
                </c:pt>
                <c:pt idx="74">
                  <c:v>41029.041250000002</c:v>
                </c:pt>
                <c:pt idx="75">
                  <c:v>41060.041250000002</c:v>
                </c:pt>
                <c:pt idx="76">
                  <c:v>41089.041250000002</c:v>
                </c:pt>
                <c:pt idx="77">
                  <c:v>41121.041250000002</c:v>
                </c:pt>
                <c:pt idx="78">
                  <c:v>41152.041250000002</c:v>
                </c:pt>
                <c:pt idx="79">
                  <c:v>41180.041250000002</c:v>
                </c:pt>
                <c:pt idx="80">
                  <c:v>41213.041250000002</c:v>
                </c:pt>
                <c:pt idx="81">
                  <c:v>41243.041250000002</c:v>
                </c:pt>
                <c:pt idx="82">
                  <c:v>41274.041250000002</c:v>
                </c:pt>
                <c:pt idx="83">
                  <c:v>41305.041250000002</c:v>
                </c:pt>
                <c:pt idx="84">
                  <c:v>41333.041250000002</c:v>
                </c:pt>
                <c:pt idx="85">
                  <c:v>41360.041250000002</c:v>
                </c:pt>
                <c:pt idx="86">
                  <c:v>41394.041250000002</c:v>
                </c:pt>
                <c:pt idx="87">
                  <c:v>41425.041250000002</c:v>
                </c:pt>
                <c:pt idx="88">
                  <c:v>41453.041250000002</c:v>
                </c:pt>
                <c:pt idx="89">
                  <c:v>41486.041250000002</c:v>
                </c:pt>
                <c:pt idx="90">
                  <c:v>41516.041250000002</c:v>
                </c:pt>
                <c:pt idx="91">
                  <c:v>41547.041250000002</c:v>
                </c:pt>
                <c:pt idx="92">
                  <c:v>41578.041250000002</c:v>
                </c:pt>
                <c:pt idx="93">
                  <c:v>41607.041250000002</c:v>
                </c:pt>
                <c:pt idx="94">
                  <c:v>41639.041250000002</c:v>
                </c:pt>
                <c:pt idx="95">
                  <c:v>41670.041250000002</c:v>
                </c:pt>
                <c:pt idx="96">
                  <c:v>41698.041250000002</c:v>
                </c:pt>
                <c:pt idx="97">
                  <c:v>41729.041250000002</c:v>
                </c:pt>
                <c:pt idx="98">
                  <c:v>41759.041250000002</c:v>
                </c:pt>
                <c:pt idx="99">
                  <c:v>41789.041250000002</c:v>
                </c:pt>
                <c:pt idx="100">
                  <c:v>41820.041250000002</c:v>
                </c:pt>
                <c:pt idx="101">
                  <c:v>41851.041250000002</c:v>
                </c:pt>
                <c:pt idx="102">
                  <c:v>41880.041250000002</c:v>
                </c:pt>
                <c:pt idx="103">
                  <c:v>41912.041250000002</c:v>
                </c:pt>
                <c:pt idx="104">
                  <c:v>41943.041250000002</c:v>
                </c:pt>
                <c:pt idx="105">
                  <c:v>41971.041250000002</c:v>
                </c:pt>
                <c:pt idx="106">
                  <c:v>42004.041250000002</c:v>
                </c:pt>
                <c:pt idx="107">
                  <c:v>42034.041250000002</c:v>
                </c:pt>
                <c:pt idx="108">
                  <c:v>42062.041250000002</c:v>
                </c:pt>
                <c:pt idx="109">
                  <c:v>42094.041250000002</c:v>
                </c:pt>
                <c:pt idx="110">
                  <c:v>42124.041250000002</c:v>
                </c:pt>
                <c:pt idx="111">
                  <c:v>42153.041250000002</c:v>
                </c:pt>
                <c:pt idx="112">
                  <c:v>42185.041250000002</c:v>
                </c:pt>
                <c:pt idx="113">
                  <c:v>42216.041250000002</c:v>
                </c:pt>
                <c:pt idx="114">
                  <c:v>42247.041250000002</c:v>
                </c:pt>
                <c:pt idx="115">
                  <c:v>42277.041250000002</c:v>
                </c:pt>
                <c:pt idx="116">
                  <c:v>42307.041250000002</c:v>
                </c:pt>
                <c:pt idx="117">
                  <c:v>42338.041250000002</c:v>
                </c:pt>
                <c:pt idx="118">
                  <c:v>42369.041250000002</c:v>
                </c:pt>
                <c:pt idx="119">
                  <c:v>42398.041250000002</c:v>
                </c:pt>
                <c:pt idx="120">
                  <c:v>42429.041250000002</c:v>
                </c:pt>
                <c:pt idx="121">
                  <c:v>42460.041250000002</c:v>
                </c:pt>
                <c:pt idx="122">
                  <c:v>42489.041250000002</c:v>
                </c:pt>
                <c:pt idx="123">
                  <c:v>42521.041250000002</c:v>
                </c:pt>
                <c:pt idx="124">
                  <c:v>42551.041250000002</c:v>
                </c:pt>
                <c:pt idx="125">
                  <c:v>42580.041250000002</c:v>
                </c:pt>
                <c:pt idx="126">
                  <c:v>42613.041250000002</c:v>
                </c:pt>
                <c:pt idx="127">
                  <c:v>42643.041250000002</c:v>
                </c:pt>
                <c:pt idx="128">
                  <c:v>42674.041250000002</c:v>
                </c:pt>
                <c:pt idx="129">
                  <c:v>42704.041250000002</c:v>
                </c:pt>
                <c:pt idx="130">
                  <c:v>42734.041250000002</c:v>
                </c:pt>
                <c:pt idx="131">
                  <c:v>42766.041250000002</c:v>
                </c:pt>
                <c:pt idx="132">
                  <c:v>42794.041250000002</c:v>
                </c:pt>
                <c:pt idx="133">
                  <c:v>42825.041250000002</c:v>
                </c:pt>
                <c:pt idx="134">
                  <c:v>42853.041250000002</c:v>
                </c:pt>
                <c:pt idx="135">
                  <c:v>42886.041250000002</c:v>
                </c:pt>
                <c:pt idx="136">
                  <c:v>42916.041250000002</c:v>
                </c:pt>
                <c:pt idx="137">
                  <c:v>42947.041250000002</c:v>
                </c:pt>
                <c:pt idx="138">
                  <c:v>42978.041250000002</c:v>
                </c:pt>
                <c:pt idx="139">
                  <c:v>43007.041250000002</c:v>
                </c:pt>
                <c:pt idx="140">
                  <c:v>43039.041250000002</c:v>
                </c:pt>
                <c:pt idx="141">
                  <c:v>43069.041250000002</c:v>
                </c:pt>
                <c:pt idx="142">
                  <c:v>43098.041250000002</c:v>
                </c:pt>
                <c:pt idx="143">
                  <c:v>43131.041250000002</c:v>
                </c:pt>
                <c:pt idx="144">
                  <c:v>43159.041250000002</c:v>
                </c:pt>
                <c:pt idx="145">
                  <c:v>43187.041250000002</c:v>
                </c:pt>
                <c:pt idx="146">
                  <c:v>43220.041250000002</c:v>
                </c:pt>
                <c:pt idx="147">
                  <c:v>43251.041250000002</c:v>
                </c:pt>
                <c:pt idx="148">
                  <c:v>43280.041250000002</c:v>
                </c:pt>
                <c:pt idx="149">
                  <c:v>43312.041250000002</c:v>
                </c:pt>
                <c:pt idx="150">
                  <c:v>43343.041250000002</c:v>
                </c:pt>
                <c:pt idx="151">
                  <c:v>43371.041250000002</c:v>
                </c:pt>
                <c:pt idx="152">
                  <c:v>43404.041250000002</c:v>
                </c:pt>
                <c:pt idx="153">
                  <c:v>43434.041250000002</c:v>
                </c:pt>
                <c:pt idx="154">
                  <c:v>43465.041250000002</c:v>
                </c:pt>
                <c:pt idx="155">
                  <c:v>43496.041250000002</c:v>
                </c:pt>
                <c:pt idx="156">
                  <c:v>43524.041250000002</c:v>
                </c:pt>
                <c:pt idx="157">
                  <c:v>43553.041250000002</c:v>
                </c:pt>
                <c:pt idx="158">
                  <c:v>43585.041250000002</c:v>
                </c:pt>
                <c:pt idx="159">
                  <c:v>43616.041250000002</c:v>
                </c:pt>
                <c:pt idx="160">
                  <c:v>43644.041250000002</c:v>
                </c:pt>
                <c:pt idx="161">
                  <c:v>43677.041250000002</c:v>
                </c:pt>
                <c:pt idx="162">
                  <c:v>43707.041250000002</c:v>
                </c:pt>
                <c:pt idx="163">
                  <c:v>43738.041250000002</c:v>
                </c:pt>
                <c:pt idx="164">
                  <c:v>43769.041250000002</c:v>
                </c:pt>
                <c:pt idx="165">
                  <c:v>43798.041250000002</c:v>
                </c:pt>
                <c:pt idx="166">
                  <c:v>43830.041250000002</c:v>
                </c:pt>
                <c:pt idx="167">
                  <c:v>43861.041250000002</c:v>
                </c:pt>
                <c:pt idx="168">
                  <c:v>43889.041250000002</c:v>
                </c:pt>
                <c:pt idx="169">
                  <c:v>43921.041250000002</c:v>
                </c:pt>
                <c:pt idx="170">
                  <c:v>43951.041250000002</c:v>
                </c:pt>
                <c:pt idx="171">
                  <c:v>43980.041250000002</c:v>
                </c:pt>
                <c:pt idx="172">
                  <c:v>44012.041250000002</c:v>
                </c:pt>
                <c:pt idx="173">
                  <c:v>44043.041250000002</c:v>
                </c:pt>
                <c:pt idx="174">
                  <c:v>44074.041250000002</c:v>
                </c:pt>
                <c:pt idx="175">
                  <c:v>44104.041250000002</c:v>
                </c:pt>
                <c:pt idx="176">
                  <c:v>44134.041250000002</c:v>
                </c:pt>
                <c:pt idx="177">
                  <c:v>44165.041250000002</c:v>
                </c:pt>
                <c:pt idx="178">
                  <c:v>44196.041250000002</c:v>
                </c:pt>
                <c:pt idx="179">
                  <c:v>44225.041250000002</c:v>
                </c:pt>
                <c:pt idx="180">
                  <c:v>44253.041250000002</c:v>
                </c:pt>
                <c:pt idx="181">
                  <c:v>44286.041250000002</c:v>
                </c:pt>
                <c:pt idx="182">
                  <c:v>44316.041250000002</c:v>
                </c:pt>
                <c:pt idx="183">
                  <c:v>44347.041250000002</c:v>
                </c:pt>
                <c:pt idx="184">
                  <c:v>44377.041250000002</c:v>
                </c:pt>
                <c:pt idx="185">
                  <c:v>44407.041250000002</c:v>
                </c:pt>
                <c:pt idx="186">
                  <c:v>44439.041250000002</c:v>
                </c:pt>
                <c:pt idx="187">
                  <c:v>44469.041250000002</c:v>
                </c:pt>
                <c:pt idx="188">
                  <c:v>44498.041250000002</c:v>
                </c:pt>
                <c:pt idx="189">
                  <c:v>44530.041250000002</c:v>
                </c:pt>
                <c:pt idx="190">
                  <c:v>44561.041250000002</c:v>
                </c:pt>
                <c:pt idx="191">
                  <c:v>44592.041250000002</c:v>
                </c:pt>
                <c:pt idx="192">
                  <c:v>44620.041250000002</c:v>
                </c:pt>
                <c:pt idx="193">
                  <c:v>44651.041250000002</c:v>
                </c:pt>
                <c:pt idx="194">
                  <c:v>44680.041250000002</c:v>
                </c:pt>
                <c:pt idx="195">
                  <c:v>44712.041250000002</c:v>
                </c:pt>
                <c:pt idx="196">
                  <c:v>44742.041250000002</c:v>
                </c:pt>
                <c:pt idx="197">
                  <c:v>44771.041250000002</c:v>
                </c:pt>
                <c:pt idx="198">
                  <c:v>44804.041250000002</c:v>
                </c:pt>
                <c:pt idx="199">
                  <c:v>44834.041250000002</c:v>
                </c:pt>
                <c:pt idx="200">
                  <c:v>44865.041250000002</c:v>
                </c:pt>
                <c:pt idx="201">
                  <c:v>44895.041250000002</c:v>
                </c:pt>
                <c:pt idx="202">
                  <c:v>44925.041250000002</c:v>
                </c:pt>
                <c:pt idx="203">
                  <c:v>44957.041250000002</c:v>
                </c:pt>
                <c:pt idx="204">
                  <c:v>44985.041250000002</c:v>
                </c:pt>
                <c:pt idx="205">
                  <c:v>45016.041250000002</c:v>
                </c:pt>
                <c:pt idx="206">
                  <c:v>45044.041250000002</c:v>
                </c:pt>
                <c:pt idx="207">
                  <c:v>45077.041250000002</c:v>
                </c:pt>
                <c:pt idx="208">
                  <c:v>45107.041250000002</c:v>
                </c:pt>
                <c:pt idx="209">
                  <c:v>45138.041250000002</c:v>
                </c:pt>
                <c:pt idx="210">
                  <c:v>45169.041250000002</c:v>
                </c:pt>
                <c:pt idx="211">
                  <c:v>45198.041250000002</c:v>
                </c:pt>
                <c:pt idx="212">
                  <c:v>45230.041250000002</c:v>
                </c:pt>
                <c:pt idx="213">
                  <c:v>45260.041250000002</c:v>
                </c:pt>
                <c:pt idx="214">
                  <c:v>45289.041250000002</c:v>
                </c:pt>
                <c:pt idx="215">
                  <c:v>45322.041250000002</c:v>
                </c:pt>
                <c:pt idx="216">
                  <c:v>45351.041250000002</c:v>
                </c:pt>
                <c:pt idx="217">
                  <c:v>45378.041250000002</c:v>
                </c:pt>
                <c:pt idx="218">
                  <c:v>45412.041250000002</c:v>
                </c:pt>
                <c:pt idx="219">
                  <c:v>45443.041250000002</c:v>
                </c:pt>
                <c:pt idx="220">
                  <c:v>45471.041250000002</c:v>
                </c:pt>
                <c:pt idx="221">
                  <c:v>45504.041250000002</c:v>
                </c:pt>
                <c:pt idx="222">
                  <c:v>45534.041250000002</c:v>
                </c:pt>
                <c:pt idx="223">
                  <c:v>45565.041250000002</c:v>
                </c:pt>
                <c:pt idx="224">
                  <c:v>45596.041250000002</c:v>
                </c:pt>
                <c:pt idx="225">
                  <c:v>45625.041250000002</c:v>
                </c:pt>
                <c:pt idx="226">
                  <c:v>45657.041250000002</c:v>
                </c:pt>
                <c:pt idx="227">
                  <c:v>45688.041250000002</c:v>
                </c:pt>
                <c:pt idx="228">
                  <c:v>45716.041250000002</c:v>
                </c:pt>
                <c:pt idx="229">
                  <c:v>45747.041250000002</c:v>
                </c:pt>
                <c:pt idx="230">
                  <c:v>45777.041250000002</c:v>
                </c:pt>
                <c:pt idx="231">
                  <c:v>45807.041250000002</c:v>
                </c:pt>
                <c:pt idx="232">
                  <c:v>45838.041250000002</c:v>
                </c:pt>
                <c:pt idx="233">
                  <c:v>45869.041250000002</c:v>
                </c:pt>
                <c:pt idx="234">
                  <c:v>45898.041250000002</c:v>
                </c:pt>
                <c:pt idx="235">
                  <c:v>45930.041250000002</c:v>
                </c:pt>
                <c:pt idx="236">
                  <c:v>45961.041250000002</c:v>
                </c:pt>
                <c:pt idx="237">
                  <c:v>45989.041250000002</c:v>
                </c:pt>
                <c:pt idx="238">
                  <c:v>46022.041250000002</c:v>
                </c:pt>
                <c:pt idx="239">
                  <c:v>46052.041250000002</c:v>
                </c:pt>
                <c:pt idx="240">
                  <c:v>46080.041250000002</c:v>
                </c:pt>
                <c:pt idx="241">
                  <c:v>46112.041250000002</c:v>
                </c:pt>
                <c:pt idx="242">
                  <c:v>46142.041250000002</c:v>
                </c:pt>
                <c:pt idx="243">
                  <c:v>46171.041250000002</c:v>
                </c:pt>
                <c:pt idx="244">
                  <c:v>46203.041250000002</c:v>
                </c:pt>
                <c:pt idx="245">
                  <c:v>46209.041250000002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</c:numCache>
            </c:numRef>
          </c:cat>
          <c:val>
            <c:numRef>
              <c:f>Crecimiento!$H$2:$H$304</c:f>
              <c:numCache>
                <c:formatCode>0.0%</c:formatCode>
                <c:ptCount val="303"/>
                <c:pt idx="0">
                  <c:v>-6.6587395957193873E-2</c:v>
                </c:pt>
                <c:pt idx="1">
                  <c:v>-0.12395833333333328</c:v>
                </c:pt>
                <c:pt idx="2">
                  <c:v>3.2258064516129004E-2</c:v>
                </c:pt>
                <c:pt idx="3">
                  <c:v>1.4176663031624903E-2</c:v>
                </c:pt>
                <c:pt idx="4">
                  <c:v>0.15929203539823011</c:v>
                </c:pt>
                <c:pt idx="5">
                  <c:v>2.7272727272727337E-2</c:v>
                </c:pt>
                <c:pt idx="6">
                  <c:v>-2.5316455696202556E-2</c:v>
                </c:pt>
                <c:pt idx="7">
                  <c:v>-4.8192771084337394E-2</c:v>
                </c:pt>
                <c:pt idx="8">
                  <c:v>-0.11702127659574468</c:v>
                </c:pt>
                <c:pt idx="9">
                  <c:v>-8.7378640776699101E-2</c:v>
                </c:pt>
                <c:pt idx="10">
                  <c:v>3.0000000000000027E-2</c:v>
                </c:pt>
                <c:pt idx="11">
                  <c:v>-0.1228070175438597</c:v>
                </c:pt>
                <c:pt idx="12">
                  <c:v>0</c:v>
                </c:pt>
                <c:pt idx="13">
                  <c:v>-4.7619047619047672E-2</c:v>
                </c:pt>
                <c:pt idx="14">
                  <c:v>-2.4999999999999467E-3</c:v>
                </c:pt>
                <c:pt idx="15">
                  <c:v>-4.0000000000000036E-2</c:v>
                </c:pt>
                <c:pt idx="16">
                  <c:v>-0.14089347079037806</c:v>
                </c:pt>
                <c:pt idx="17">
                  <c:v>2.464788732394374E-2</c:v>
                </c:pt>
                <c:pt idx="18">
                  <c:v>1.4285714285714235E-2</c:v>
                </c:pt>
                <c:pt idx="19">
                  <c:v>-4.4368600682593851E-2</c:v>
                </c:pt>
                <c:pt idx="20">
                  <c:v>0</c:v>
                </c:pt>
                <c:pt idx="21">
                  <c:v>-3.6184210526315708E-2</c:v>
                </c:pt>
                <c:pt idx="22">
                  <c:v>0</c:v>
                </c:pt>
                <c:pt idx="23">
                  <c:v>-5.0000000000000044E-2</c:v>
                </c:pt>
                <c:pt idx="24">
                  <c:v>1.2658227848101111E-2</c:v>
                </c:pt>
                <c:pt idx="25">
                  <c:v>5.3333333333333455E-2</c:v>
                </c:pt>
                <c:pt idx="26">
                  <c:v>0</c:v>
                </c:pt>
                <c:pt idx="27">
                  <c:v>0</c:v>
                </c:pt>
                <c:pt idx="28">
                  <c:v>3.4482758620689724E-2</c:v>
                </c:pt>
                <c:pt idx="29">
                  <c:v>3.5714285714285809E-2</c:v>
                </c:pt>
                <c:pt idx="30">
                  <c:v>0</c:v>
                </c:pt>
                <c:pt idx="31">
                  <c:v>0.16666666666666674</c:v>
                </c:pt>
                <c:pt idx="32">
                  <c:v>-4.0000000000000036E-2</c:v>
                </c:pt>
                <c:pt idx="33">
                  <c:v>0</c:v>
                </c:pt>
                <c:pt idx="34">
                  <c:v>1.6260162601625883E-2</c:v>
                </c:pt>
                <c:pt idx="35">
                  <c:v>3.7974683544303778E-2</c:v>
                </c:pt>
                <c:pt idx="36">
                  <c:v>-8.846153846153848E-2</c:v>
                </c:pt>
                <c:pt idx="37">
                  <c:v>-3.703703703703709E-2</c:v>
                </c:pt>
                <c:pt idx="38">
                  <c:v>3.8461538461538547E-2</c:v>
                </c:pt>
                <c:pt idx="39">
                  <c:v>-9.722222222222221E-2</c:v>
                </c:pt>
                <c:pt idx="40">
                  <c:v>-6.6753078418664846E-2</c:v>
                </c:pt>
                <c:pt idx="41">
                  <c:v>-3.5625000000000018E-2</c:v>
                </c:pt>
                <c:pt idx="42">
                  <c:v>0</c:v>
                </c:pt>
                <c:pt idx="43">
                  <c:v>-9.2879256965943124E-3</c:v>
                </c:pt>
                <c:pt idx="44">
                  <c:v>9.3749999999999112E-3</c:v>
                </c:pt>
                <c:pt idx="45">
                  <c:v>-8.5714285714285743E-2</c:v>
                </c:pt>
                <c:pt idx="46">
                  <c:v>-7.8947368421052655E-2</c:v>
                </c:pt>
                <c:pt idx="47">
                  <c:v>8.2621082621082476E-2</c:v>
                </c:pt>
                <c:pt idx="48">
                  <c:v>2.5116822429906538E-2</c:v>
                </c:pt>
                <c:pt idx="49">
                  <c:v>-6.294471811713187E-2</c:v>
                </c:pt>
                <c:pt idx="50">
                  <c:v>1.8962632459564865E-2</c:v>
                </c:pt>
                <c:pt idx="51">
                  <c:v>2.4571428571428466E-2</c:v>
                </c:pt>
                <c:pt idx="52">
                  <c:v>-1.6853932584269704E-2</c:v>
                </c:pt>
                <c:pt idx="53">
                  <c:v>0</c:v>
                </c:pt>
                <c:pt idx="54">
                  <c:v>-3.7837837837837784E-2</c:v>
                </c:pt>
                <c:pt idx="55">
                  <c:v>-3.1413612565445059E-2</c:v>
                </c:pt>
                <c:pt idx="56">
                  <c:v>-8.6561453849832604E-2</c:v>
                </c:pt>
                <c:pt idx="57">
                  <c:v>-5.5128784455490187E-2</c:v>
                </c:pt>
                <c:pt idx="58">
                  <c:v>-2.7039206849933661E-3</c:v>
                </c:pt>
                <c:pt idx="59">
                  <c:v>-5.5342699020859865E-2</c:v>
                </c:pt>
                <c:pt idx="60">
                  <c:v>-1.6331658291457329E-2</c:v>
                </c:pt>
                <c:pt idx="61">
                  <c:v>-4.6706586826347318E-2</c:v>
                </c:pt>
                <c:pt idx="62">
                  <c:v>4.0080160320641323E-3</c:v>
                </c:pt>
                <c:pt idx="63">
                  <c:v>-8.7405641636870701E-3</c:v>
                </c:pt>
                <c:pt idx="64">
                  <c:v>-1.1904761904760752E-3</c:v>
                </c:pt>
                <c:pt idx="65">
                  <c:v>3.661044837515437E-2</c:v>
                </c:pt>
                <c:pt idx="66">
                  <c:v>-5.3191489361703592E-3</c:v>
                </c:pt>
                <c:pt idx="67">
                  <c:v>-1.22599100939913E-3</c:v>
                </c:pt>
                <c:pt idx="68">
                  <c:v>-1.2111425111021479E-2</c:v>
                </c:pt>
                <c:pt idx="69">
                  <c:v>-4.8212133386902334E-3</c:v>
                </c:pt>
                <c:pt idx="70">
                  <c:v>-2.5450274079874657E-2</c:v>
                </c:pt>
                <c:pt idx="71">
                  <c:v>-2.7418126428027545E-2</c:v>
                </c:pt>
                <c:pt idx="72">
                  <c:v>-8.6825217063041249E-3</c:v>
                </c:pt>
                <c:pt idx="73">
                  <c:v>-8.1484049930651947E-2</c:v>
                </c:pt>
                <c:pt idx="74">
                  <c:v>8.3916083916082407E-3</c:v>
                </c:pt>
                <c:pt idx="75">
                  <c:v>-6.7492663840886813E-2</c:v>
                </c:pt>
                <c:pt idx="76">
                  <c:v>-5.4853620955315874E-2</c:v>
                </c:pt>
                <c:pt idx="77">
                  <c:v>3.5087719298245723E-2</c:v>
                </c:pt>
                <c:pt idx="78">
                  <c:v>-5.3442028985507095E-2</c:v>
                </c:pt>
                <c:pt idx="79">
                  <c:v>-6.6253171694389712E-2</c:v>
                </c:pt>
                <c:pt idx="80">
                  <c:v>-1.581576026637066E-2</c:v>
                </c:pt>
                <c:pt idx="81">
                  <c:v>-9.2191435768262053E-2</c:v>
                </c:pt>
                <c:pt idx="82">
                  <c:v>-1.1946241911398592E-2</c:v>
                </c:pt>
                <c:pt idx="83">
                  <c:v>3.9586028460543377E-2</c:v>
                </c:pt>
                <c:pt idx="84">
                  <c:v>-0.14867841409691629</c:v>
                </c:pt>
                <c:pt idx="85">
                  <c:v>2.66847580280416E-2</c:v>
                </c:pt>
                <c:pt idx="86">
                  <c:v>0.10549999999999993</c:v>
                </c:pt>
                <c:pt idx="87">
                  <c:v>-3.3816425120772875E-2</c:v>
                </c:pt>
                <c:pt idx="88">
                  <c:v>8.0350620891160851E-3</c:v>
                </c:pt>
                <c:pt idx="89">
                  <c:v>-3.8173302107728402E-2</c:v>
                </c:pt>
                <c:pt idx="90">
                  <c:v>-3.6117381489841893E-2</c:v>
                </c:pt>
                <c:pt idx="91">
                  <c:v>-2.3799030409872302E-2</c:v>
                </c:pt>
                <c:pt idx="92">
                  <c:v>-1.4549402823018309E-2</c:v>
                </c:pt>
                <c:pt idx="93">
                  <c:v>-9.0380890897353572E-3</c:v>
                </c:pt>
                <c:pt idx="94">
                  <c:v>0.10880458124552628</c:v>
                </c:pt>
                <c:pt idx="95">
                  <c:v>0.20327304048234285</c:v>
                </c:pt>
                <c:pt idx="96">
                  <c:v>-0.10162496775857632</c:v>
                </c:pt>
                <c:pt idx="97">
                  <c:v>-2.8292181069958788E-3</c:v>
                </c:pt>
                <c:pt idx="98">
                  <c:v>-2.5563909774436011E-2</c:v>
                </c:pt>
                <c:pt idx="99">
                  <c:v>8.8495575221239076E-3</c:v>
                </c:pt>
                <c:pt idx="100">
                  <c:v>5.7203956161454128E-2</c:v>
                </c:pt>
                <c:pt idx="101">
                  <c:v>2.157291097760794E-2</c:v>
                </c:pt>
                <c:pt idx="102">
                  <c:v>1.8070614400889529E-2</c:v>
                </c:pt>
                <c:pt idx="103">
                  <c:v>4.8076923076923128E-2</c:v>
                </c:pt>
                <c:pt idx="104">
                  <c:v>-4.6136742634797057E-2</c:v>
                </c:pt>
                <c:pt idx="105">
                  <c:v>1.5237020316027028E-2</c:v>
                </c:pt>
                <c:pt idx="106">
                  <c:v>2.8737300435413449E-2</c:v>
                </c:pt>
                <c:pt idx="107">
                  <c:v>-7.912322908313274E-2</c:v>
                </c:pt>
                <c:pt idx="108">
                  <c:v>-4.8091603053435183E-2</c:v>
                </c:pt>
                <c:pt idx="109">
                  <c:v>-5.8682634730539029E-2</c:v>
                </c:pt>
                <c:pt idx="110">
                  <c:v>4.6365914786967499E-2</c:v>
                </c:pt>
                <c:pt idx="111">
                  <c:v>-8.4493041749503783E-3</c:v>
                </c:pt>
                <c:pt idx="112">
                  <c:v>-7.2383586906408448E-2</c:v>
                </c:pt>
                <c:pt idx="113">
                  <c:v>5.8565153733528774E-2</c:v>
                </c:pt>
                <c:pt idx="114">
                  <c:v>-8.3426526504137843E-2</c:v>
                </c:pt>
                <c:pt idx="115">
                  <c:v>-2.1234676007005238E-2</c:v>
                </c:pt>
                <c:pt idx="116">
                  <c:v>1.8960517510595576E-2</c:v>
                </c:pt>
                <c:pt idx="117">
                  <c:v>1.3401831583648161E-3</c:v>
                </c:pt>
                <c:pt idx="118">
                  <c:v>3.2994923857867953E-2</c:v>
                </c:pt>
                <c:pt idx="119">
                  <c:v>0.13070701800156548</c:v>
                </c:pt>
                <c:pt idx="120">
                  <c:v>5.7727630543165098E-3</c:v>
                </c:pt>
                <c:pt idx="121">
                  <c:v>7.8781512605052839E-4</c:v>
                </c:pt>
                <c:pt idx="122">
                  <c:v>-2.107969151670952E-2</c:v>
                </c:pt>
                <c:pt idx="123">
                  <c:v>-3.1374501992031845E-2</c:v>
                </c:pt>
                <c:pt idx="124">
                  <c:v>3.3187548237715525E-2</c:v>
                </c:pt>
                <c:pt idx="125">
                  <c:v>-3.9060568603213941E-2</c:v>
                </c:pt>
                <c:pt idx="126">
                  <c:v>-4.055977229601504E-2</c:v>
                </c:pt>
                <c:pt idx="127">
                  <c:v>-8.0279232111692966E-2</c:v>
                </c:pt>
                <c:pt idx="128">
                  <c:v>0.1029836381135707</c:v>
                </c:pt>
                <c:pt idx="129">
                  <c:v>0.1035581518852895</c:v>
                </c:pt>
                <c:pt idx="130">
                  <c:v>1.6464237516869096E-2</c:v>
                </c:pt>
                <c:pt idx="131">
                  <c:v>-9.0933404653651406E-3</c:v>
                </c:pt>
                <c:pt idx="132">
                  <c:v>-3.4349173553718915E-2</c:v>
                </c:pt>
                <c:pt idx="133">
                  <c:v>-7.4569789674952314E-2</c:v>
                </c:pt>
                <c:pt idx="134">
                  <c:v>6.4631043256997645E-2</c:v>
                </c:pt>
                <c:pt idx="135">
                  <c:v>1.7843487127198188E-3</c:v>
                </c:pt>
                <c:pt idx="136">
                  <c:v>-2.3643603782976697E-2</c:v>
                </c:pt>
                <c:pt idx="137">
                  <c:v>-8.2229328460484252E-2</c:v>
                </c:pt>
                <c:pt idx="138">
                  <c:v>-5.6779468544174705E-3</c:v>
                </c:pt>
                <c:pt idx="139">
                  <c:v>7.3378839590443556E-2</c:v>
                </c:pt>
                <c:pt idx="140">
                  <c:v>-2.9112426035502903E-2</c:v>
                </c:pt>
                <c:pt idx="141">
                  <c:v>-7.5087565674255674E-2</c:v>
                </c:pt>
                <c:pt idx="142">
                  <c:v>4.5787545787545847E-2</c:v>
                </c:pt>
                <c:pt idx="143">
                  <c:v>-5.4340766399653573E-2</c:v>
                </c:pt>
                <c:pt idx="144">
                  <c:v>4.3487714720591431E-3</c:v>
                </c:pt>
                <c:pt idx="145">
                  <c:v>2.7250390886754516E-2</c:v>
                </c:pt>
                <c:pt idx="146">
                  <c:v>0.13542987572914034</c:v>
                </c:pt>
                <c:pt idx="147">
                  <c:v>-5.8050645007166723E-2</c:v>
                </c:pt>
                <c:pt idx="148">
                  <c:v>3.3835514941960909E-2</c:v>
                </c:pt>
                <c:pt idx="149">
                  <c:v>-1.4602092966658597E-2</c:v>
                </c:pt>
                <c:pt idx="150">
                  <c:v>-2.9293645168910865E-2</c:v>
                </c:pt>
                <c:pt idx="151">
                  <c:v>0.12162162162162149</c:v>
                </c:pt>
                <c:pt idx="152">
                  <c:v>-9.6913137114142067E-2</c:v>
                </c:pt>
                <c:pt idx="153">
                  <c:v>1.9268292682926846E-2</c:v>
                </c:pt>
                <c:pt idx="154">
                  <c:v>-1.7964071856287456E-2</c:v>
                </c:pt>
                <c:pt idx="155">
                  <c:v>-2.2477171622570791E-2</c:v>
                </c:pt>
                <c:pt idx="156">
                  <c:v>-1.3625866050808177E-2</c:v>
                </c:pt>
                <c:pt idx="157">
                  <c:v>6.5714988924439943E-2</c:v>
                </c:pt>
                <c:pt idx="158">
                  <c:v>1.1955168119551773E-2</c:v>
                </c:pt>
                <c:pt idx="159">
                  <c:v>-2.3826890347678154E-2</c:v>
                </c:pt>
                <c:pt idx="160">
                  <c:v>2.5430067314884175E-2</c:v>
                </c:pt>
                <c:pt idx="161">
                  <c:v>-3.9971278123504095E-2</c:v>
                </c:pt>
                <c:pt idx="162">
                  <c:v>-9.5648015303684275E-4</c:v>
                </c:pt>
                <c:pt idx="163">
                  <c:v>6.6564651874521763E-2</c:v>
                </c:pt>
                <c:pt idx="164">
                  <c:v>2.6439790575916167E-2</c:v>
                </c:pt>
                <c:pt idx="165">
                  <c:v>1.676869842959805E-2</c:v>
                </c:pt>
                <c:pt idx="166">
                  <c:v>2.1339023739663787E-3</c:v>
                </c:pt>
                <c:pt idx="167">
                  <c:v>5.7247602932882113E-2</c:v>
                </c:pt>
                <c:pt idx="168">
                  <c:v>0.18239413137712579</c:v>
                </c:pt>
                <c:pt idx="169">
                  <c:v>4.3536503683858641E-3</c:v>
                </c:pt>
                <c:pt idx="170">
                  <c:v>-0.14953004841925377</c:v>
                </c:pt>
                <c:pt idx="171">
                  <c:v>3.3559022667059235E-2</c:v>
                </c:pt>
                <c:pt idx="172">
                  <c:v>-3.5200938691699601E-3</c:v>
                </c:pt>
                <c:pt idx="173">
                  <c:v>-8.7282463186077575E-2</c:v>
                </c:pt>
                <c:pt idx="174">
                  <c:v>-6.6949787659255522E-2</c:v>
                </c:pt>
                <c:pt idx="175">
                  <c:v>6.491088055333849E-2</c:v>
                </c:pt>
                <c:pt idx="176">
                  <c:v>-5.9309309309309222E-2</c:v>
                </c:pt>
                <c:pt idx="177">
                  <c:v>-0.23477594791267709</c:v>
                </c:pt>
                <c:pt idx="178">
                  <c:v>0.14769230769230757</c:v>
                </c:pt>
                <c:pt idx="179">
                  <c:v>7.1092278719397495E-2</c:v>
                </c:pt>
                <c:pt idx="180">
                  <c:v>-3.8478949751018621E-2</c:v>
                </c:pt>
                <c:pt idx="181">
                  <c:v>3.684581084252514E-2</c:v>
                </c:pt>
                <c:pt idx="182">
                  <c:v>-5.0790822009356251E-2</c:v>
                </c:pt>
                <c:pt idx="183">
                  <c:v>-1.1451222197753741E-2</c:v>
                </c:pt>
                <c:pt idx="184">
                  <c:v>8.9752819774417958E-2</c:v>
                </c:pt>
                <c:pt idx="185">
                  <c:v>-4.2729152308752516E-2</c:v>
                </c:pt>
                <c:pt idx="186">
                  <c:v>4.1886069889899513E-2</c:v>
                </c:pt>
                <c:pt idx="187">
                  <c:v>0.10353935552033811</c:v>
                </c:pt>
                <c:pt idx="188">
                  <c:v>7.1827613727053485E-3</c:v>
                </c:pt>
                <c:pt idx="189">
                  <c:v>-7.1393280632410905E-2</c:v>
                </c:pt>
                <c:pt idx="190">
                  <c:v>0.18709677419354831</c:v>
                </c:pt>
                <c:pt idx="191">
                  <c:v>0.17911479944674968</c:v>
                </c:pt>
                <c:pt idx="192">
                  <c:v>-7.7511961722487976E-2</c:v>
                </c:pt>
                <c:pt idx="193">
                  <c:v>2.3840627041149531E-2</c:v>
                </c:pt>
                <c:pt idx="194">
                  <c:v>1.7613825191093335E-2</c:v>
                </c:pt>
                <c:pt idx="195">
                  <c:v>0.12696629213483157</c:v>
                </c:pt>
                <c:pt idx="196">
                  <c:v>-0.12972620599739249</c:v>
                </c:pt>
                <c:pt idx="197">
                  <c:v>-3.3091711314213734E-2</c:v>
                </c:pt>
                <c:pt idx="198">
                  <c:v>-0.15251068376068366</c:v>
                </c:pt>
                <c:pt idx="199">
                  <c:v>-6.3531765882941404E-2</c:v>
                </c:pt>
                <c:pt idx="200">
                  <c:v>1.1639676113360142E-2</c:v>
                </c:pt>
                <c:pt idx="201">
                  <c:v>-9.4616265750286255E-2</c:v>
                </c:pt>
                <c:pt idx="202">
                  <c:v>-4.1922739244951823E-2</c:v>
                </c:pt>
                <c:pt idx="203">
                  <c:v>6.4237327727166615E-2</c:v>
                </c:pt>
                <c:pt idx="204">
                  <c:v>-7.8760490639121938E-2</c:v>
                </c:pt>
                <c:pt idx="205">
                  <c:v>-2.9651284192942162E-2</c:v>
                </c:pt>
                <c:pt idx="206">
                  <c:v>8.422005886348205E-2</c:v>
                </c:pt>
                <c:pt idx="207">
                  <c:v>-5.8519018681071344E-3</c:v>
                </c:pt>
                <c:pt idx="208">
                  <c:v>-9.0667212443716783E-2</c:v>
                </c:pt>
                <c:pt idx="209">
                  <c:v>0.18247821878025161</c:v>
                </c:pt>
                <c:pt idx="210">
                  <c:v>8.2967301122500725E-3</c:v>
                </c:pt>
                <c:pt idx="211">
                  <c:v>2.4408103490358712E-4</c:v>
                </c:pt>
                <c:pt idx="212">
                  <c:v>-7.055353901996364E-2</c:v>
                </c:pt>
                <c:pt idx="213">
                  <c:v>-4.3817787418655163E-2</c:v>
                </c:pt>
                <c:pt idx="214">
                  <c:v>1.6986543128171272E-2</c:v>
                </c:pt>
                <c:pt idx="215">
                  <c:v>-3.3475479744136449E-2</c:v>
                </c:pt>
                <c:pt idx="216">
                  <c:v>4.7342563644484192E-2</c:v>
                </c:pt>
                <c:pt idx="217">
                  <c:v>-8.5749285422621391E-2</c:v>
                </c:pt>
                <c:pt idx="218">
                  <c:v>-4.6896283323603849E-2</c:v>
                </c:pt>
                <c:pt idx="219">
                  <c:v>-2.836074872376626E-2</c:v>
                </c:pt>
                <c:pt idx="220">
                  <c:v>-2.5966850828729182E-2</c:v>
                </c:pt>
                <c:pt idx="221">
                  <c:v>-5.3512288652605933E-2</c:v>
                </c:pt>
                <c:pt idx="222">
                  <c:v>5.2081423069869626E-2</c:v>
                </c:pt>
                <c:pt idx="223">
                  <c:v>4.1841803591899041E-2</c:v>
                </c:pt>
                <c:pt idx="224">
                  <c:v>3.2958358002763033E-2</c:v>
                </c:pt>
                <c:pt idx="225">
                  <c:v>-7.4013157894736836E-2</c:v>
                </c:pt>
                <c:pt idx="226">
                  <c:v>-1.635808017256879E-2</c:v>
                </c:pt>
                <c:pt idx="227">
                  <c:v>3.5169333829549787E-2</c:v>
                </c:pt>
                <c:pt idx="228">
                  <c:v>-3.5707877265386601E-2</c:v>
                </c:pt>
                <c:pt idx="229">
                  <c:v>-2.505817075353467E-3</c:v>
                </c:pt>
                <c:pt idx="230">
                  <c:v>2.1949881104810665E-2</c:v>
                </c:pt>
                <c:pt idx="231">
                  <c:v>-2.7224199288256257E-2</c:v>
                </c:pt>
                <c:pt idx="232">
                  <c:v>2.5547445255474477E-2</c:v>
                </c:pt>
                <c:pt idx="233">
                  <c:v>-0.20348837209302328</c:v>
                </c:pt>
                <c:pt idx="234">
                  <c:v>2.3352669939015192E-2</c:v>
                </c:pt>
                <c:pt idx="235">
                  <c:v>-5.6553466180185197E-2</c:v>
                </c:pt>
                <c:pt idx="236">
                  <c:v>-2.5837320574162659E-2</c:v>
                </c:pt>
                <c:pt idx="237">
                  <c:v>-0.12426673051598225</c:v>
                </c:pt>
                <c:pt idx="238">
                  <c:v>0.13061721710882512</c:v>
                </c:pt>
                <c:pt idx="239">
                  <c:v>-0.14540196645459813</c:v>
                </c:pt>
                <c:pt idx="240">
                  <c:v>2.5260910815939397E-2</c:v>
                </c:pt>
                <c:pt idx="241">
                  <c:v>0.26720769461977745</c:v>
                </c:pt>
                <c:pt idx="242">
                  <c:v>0.10568295114656046</c:v>
                </c:pt>
                <c:pt idx="243">
                  <c:v>5.4125065685759255E-2</c:v>
                </c:pt>
                <c:pt idx="244">
                  <c:v>2.477113624124927E-2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52-4CC1-B1EA-D3313825A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536032"/>
        <c:axId val="1929095408"/>
      </c:lineChart>
      <c:dateAx>
        <c:axId val="224536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9095408"/>
        <c:crosses val="autoZero"/>
        <c:auto val="0"/>
        <c:lblOffset val="100"/>
        <c:baseTimeUnit val="months"/>
        <c:majorUnit val="2"/>
        <c:majorTimeUnit val="years"/>
      </c:dateAx>
      <c:valAx>
        <c:axId val="192909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Variación mensual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453603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KIMBERLY CLARK — Tasa de crecimiento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KIMBERLY CLARK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Crecimiento!$A$2:$A$304</c:f>
              <c:numCache>
                <c:formatCode>m/d/yyyy</c:formatCode>
                <c:ptCount val="303"/>
                <c:pt idx="0">
                  <c:v>38776.041250000002</c:v>
                </c:pt>
                <c:pt idx="1">
                  <c:v>38807.041250000002</c:v>
                </c:pt>
                <c:pt idx="2">
                  <c:v>38835.041250000002</c:v>
                </c:pt>
                <c:pt idx="3">
                  <c:v>38868.041250000002</c:v>
                </c:pt>
                <c:pt idx="4">
                  <c:v>38898.041250000002</c:v>
                </c:pt>
                <c:pt idx="5">
                  <c:v>38929.041250000002</c:v>
                </c:pt>
                <c:pt idx="6">
                  <c:v>38960.041250000002</c:v>
                </c:pt>
                <c:pt idx="7">
                  <c:v>38989.041250000002</c:v>
                </c:pt>
                <c:pt idx="8">
                  <c:v>39021.041250000002</c:v>
                </c:pt>
                <c:pt idx="9">
                  <c:v>39051.041250000002</c:v>
                </c:pt>
                <c:pt idx="10">
                  <c:v>39080.041250000002</c:v>
                </c:pt>
                <c:pt idx="11">
                  <c:v>39113.041250000002</c:v>
                </c:pt>
                <c:pt idx="12">
                  <c:v>39141.041250000002</c:v>
                </c:pt>
                <c:pt idx="13">
                  <c:v>39171.041250000002</c:v>
                </c:pt>
                <c:pt idx="14">
                  <c:v>39202.041250000002</c:v>
                </c:pt>
                <c:pt idx="15">
                  <c:v>39233.041250000002</c:v>
                </c:pt>
                <c:pt idx="16">
                  <c:v>39262.041250000002</c:v>
                </c:pt>
                <c:pt idx="17">
                  <c:v>39294.041250000002</c:v>
                </c:pt>
                <c:pt idx="18">
                  <c:v>39325.041250000002</c:v>
                </c:pt>
                <c:pt idx="19">
                  <c:v>39353.041250000002</c:v>
                </c:pt>
                <c:pt idx="20">
                  <c:v>39386.041250000002</c:v>
                </c:pt>
                <c:pt idx="21">
                  <c:v>39416.041250000002</c:v>
                </c:pt>
                <c:pt idx="22">
                  <c:v>39447.041250000002</c:v>
                </c:pt>
                <c:pt idx="23">
                  <c:v>39478.041250000002</c:v>
                </c:pt>
                <c:pt idx="24">
                  <c:v>39507.041250000002</c:v>
                </c:pt>
                <c:pt idx="25">
                  <c:v>39538.041250000002</c:v>
                </c:pt>
                <c:pt idx="26">
                  <c:v>39568.041250000002</c:v>
                </c:pt>
                <c:pt idx="27">
                  <c:v>39598.041250000002</c:v>
                </c:pt>
                <c:pt idx="28">
                  <c:v>39629.041250000002</c:v>
                </c:pt>
                <c:pt idx="29">
                  <c:v>39660.041250000002</c:v>
                </c:pt>
                <c:pt idx="30">
                  <c:v>39689.041250000002</c:v>
                </c:pt>
                <c:pt idx="31">
                  <c:v>39721.041250000002</c:v>
                </c:pt>
                <c:pt idx="32">
                  <c:v>39752.041250000002</c:v>
                </c:pt>
                <c:pt idx="33">
                  <c:v>39780.041250000002</c:v>
                </c:pt>
                <c:pt idx="34">
                  <c:v>39813.041250000002</c:v>
                </c:pt>
                <c:pt idx="35">
                  <c:v>39843.041250000002</c:v>
                </c:pt>
                <c:pt idx="36">
                  <c:v>39871.041250000002</c:v>
                </c:pt>
                <c:pt idx="37">
                  <c:v>39903.041250000002</c:v>
                </c:pt>
                <c:pt idx="38">
                  <c:v>39933.041250000002</c:v>
                </c:pt>
                <c:pt idx="39">
                  <c:v>39962.041250000002</c:v>
                </c:pt>
                <c:pt idx="40">
                  <c:v>39994.041250000002</c:v>
                </c:pt>
                <c:pt idx="41">
                  <c:v>40025.041250000002</c:v>
                </c:pt>
                <c:pt idx="42">
                  <c:v>40056.041250000002</c:v>
                </c:pt>
                <c:pt idx="43">
                  <c:v>40086.041250000002</c:v>
                </c:pt>
                <c:pt idx="44">
                  <c:v>40116.041250000002</c:v>
                </c:pt>
                <c:pt idx="45">
                  <c:v>40147.041250000002</c:v>
                </c:pt>
                <c:pt idx="46">
                  <c:v>40178.041250000002</c:v>
                </c:pt>
                <c:pt idx="47">
                  <c:v>40207.041250000002</c:v>
                </c:pt>
                <c:pt idx="48">
                  <c:v>40235.041250000002</c:v>
                </c:pt>
                <c:pt idx="49">
                  <c:v>40268.041250000002</c:v>
                </c:pt>
                <c:pt idx="50">
                  <c:v>40298.041250000002</c:v>
                </c:pt>
                <c:pt idx="51">
                  <c:v>40329.041250000002</c:v>
                </c:pt>
                <c:pt idx="52">
                  <c:v>40359.041250000002</c:v>
                </c:pt>
                <c:pt idx="53">
                  <c:v>40389.041250000002</c:v>
                </c:pt>
                <c:pt idx="54">
                  <c:v>40421.041250000002</c:v>
                </c:pt>
                <c:pt idx="55">
                  <c:v>40451.041250000002</c:v>
                </c:pt>
                <c:pt idx="56">
                  <c:v>40480.041250000002</c:v>
                </c:pt>
                <c:pt idx="57">
                  <c:v>40512.041250000002</c:v>
                </c:pt>
                <c:pt idx="58">
                  <c:v>40543.041250000002</c:v>
                </c:pt>
                <c:pt idx="59">
                  <c:v>40574.041250000002</c:v>
                </c:pt>
                <c:pt idx="60">
                  <c:v>40602.041250000002</c:v>
                </c:pt>
                <c:pt idx="61">
                  <c:v>40633.041250000002</c:v>
                </c:pt>
                <c:pt idx="62">
                  <c:v>40662.041250000002</c:v>
                </c:pt>
                <c:pt idx="63">
                  <c:v>40694.041250000002</c:v>
                </c:pt>
                <c:pt idx="64">
                  <c:v>40724.041250000002</c:v>
                </c:pt>
                <c:pt idx="65">
                  <c:v>40753.041250000002</c:v>
                </c:pt>
                <c:pt idx="66">
                  <c:v>40786.041250000002</c:v>
                </c:pt>
                <c:pt idx="67">
                  <c:v>40816.041250000002</c:v>
                </c:pt>
                <c:pt idx="68">
                  <c:v>40847.041250000002</c:v>
                </c:pt>
                <c:pt idx="69">
                  <c:v>40877.041250000002</c:v>
                </c:pt>
                <c:pt idx="70">
                  <c:v>40907.041250000002</c:v>
                </c:pt>
                <c:pt idx="71">
                  <c:v>40939.041250000002</c:v>
                </c:pt>
                <c:pt idx="72">
                  <c:v>40968.041250000002</c:v>
                </c:pt>
                <c:pt idx="73">
                  <c:v>40998.041250000002</c:v>
                </c:pt>
                <c:pt idx="74">
                  <c:v>41029.041250000002</c:v>
                </c:pt>
                <c:pt idx="75">
                  <c:v>41060.041250000002</c:v>
                </c:pt>
                <c:pt idx="76">
                  <c:v>41089.041250000002</c:v>
                </c:pt>
                <c:pt idx="77">
                  <c:v>41121.041250000002</c:v>
                </c:pt>
                <c:pt idx="78">
                  <c:v>41152.041250000002</c:v>
                </c:pt>
                <c:pt idx="79">
                  <c:v>41180.041250000002</c:v>
                </c:pt>
                <c:pt idx="80">
                  <c:v>41213.041250000002</c:v>
                </c:pt>
                <c:pt idx="81">
                  <c:v>41243.041250000002</c:v>
                </c:pt>
                <c:pt idx="82">
                  <c:v>41274.041250000002</c:v>
                </c:pt>
                <c:pt idx="83">
                  <c:v>41305.041250000002</c:v>
                </c:pt>
                <c:pt idx="84">
                  <c:v>41333.041250000002</c:v>
                </c:pt>
                <c:pt idx="85">
                  <c:v>41360.041250000002</c:v>
                </c:pt>
                <c:pt idx="86">
                  <c:v>41394.041250000002</c:v>
                </c:pt>
                <c:pt idx="87">
                  <c:v>41425.041250000002</c:v>
                </c:pt>
                <c:pt idx="88">
                  <c:v>41453.041250000002</c:v>
                </c:pt>
                <c:pt idx="89">
                  <c:v>41486.041250000002</c:v>
                </c:pt>
                <c:pt idx="90">
                  <c:v>41516.041250000002</c:v>
                </c:pt>
                <c:pt idx="91">
                  <c:v>41547.041250000002</c:v>
                </c:pt>
                <c:pt idx="92">
                  <c:v>41578.041250000002</c:v>
                </c:pt>
                <c:pt idx="93">
                  <c:v>41607.041250000002</c:v>
                </c:pt>
                <c:pt idx="94">
                  <c:v>41639.041250000002</c:v>
                </c:pt>
                <c:pt idx="95">
                  <c:v>41670.041250000002</c:v>
                </c:pt>
                <c:pt idx="96">
                  <c:v>41698.041250000002</c:v>
                </c:pt>
                <c:pt idx="97">
                  <c:v>41729.041250000002</c:v>
                </c:pt>
                <c:pt idx="98">
                  <c:v>41759.041250000002</c:v>
                </c:pt>
                <c:pt idx="99">
                  <c:v>41789.041250000002</c:v>
                </c:pt>
                <c:pt idx="100">
                  <c:v>41820.041250000002</c:v>
                </c:pt>
                <c:pt idx="101">
                  <c:v>41851.041250000002</c:v>
                </c:pt>
                <c:pt idx="102">
                  <c:v>41880.041250000002</c:v>
                </c:pt>
                <c:pt idx="103">
                  <c:v>41912.041250000002</c:v>
                </c:pt>
                <c:pt idx="104">
                  <c:v>41943.041250000002</c:v>
                </c:pt>
                <c:pt idx="105">
                  <c:v>41971.041250000002</c:v>
                </c:pt>
                <c:pt idx="106">
                  <c:v>42004.041250000002</c:v>
                </c:pt>
                <c:pt idx="107">
                  <c:v>42034.041250000002</c:v>
                </c:pt>
                <c:pt idx="108">
                  <c:v>42062.041250000002</c:v>
                </c:pt>
                <c:pt idx="109">
                  <c:v>42094.041250000002</c:v>
                </c:pt>
                <c:pt idx="110">
                  <c:v>42124.041250000002</c:v>
                </c:pt>
                <c:pt idx="111">
                  <c:v>42153.041250000002</c:v>
                </c:pt>
                <c:pt idx="112">
                  <c:v>42185.041250000002</c:v>
                </c:pt>
                <c:pt idx="113">
                  <c:v>42216.041250000002</c:v>
                </c:pt>
                <c:pt idx="114">
                  <c:v>42247.041250000002</c:v>
                </c:pt>
                <c:pt idx="115">
                  <c:v>42277.041250000002</c:v>
                </c:pt>
                <c:pt idx="116">
                  <c:v>42307.041250000002</c:v>
                </c:pt>
                <c:pt idx="117">
                  <c:v>42338.041250000002</c:v>
                </c:pt>
                <c:pt idx="118">
                  <c:v>42369.041250000002</c:v>
                </c:pt>
                <c:pt idx="119">
                  <c:v>42398.041250000002</c:v>
                </c:pt>
                <c:pt idx="120">
                  <c:v>42429.041250000002</c:v>
                </c:pt>
                <c:pt idx="121">
                  <c:v>42460.041250000002</c:v>
                </c:pt>
                <c:pt idx="122">
                  <c:v>42489.041250000002</c:v>
                </c:pt>
                <c:pt idx="123">
                  <c:v>42521.041250000002</c:v>
                </c:pt>
                <c:pt idx="124">
                  <c:v>42551.041250000002</c:v>
                </c:pt>
                <c:pt idx="125">
                  <c:v>42580.041250000002</c:v>
                </c:pt>
                <c:pt idx="126">
                  <c:v>42613.041250000002</c:v>
                </c:pt>
                <c:pt idx="127">
                  <c:v>42643.041250000002</c:v>
                </c:pt>
                <c:pt idx="128">
                  <c:v>42674.041250000002</c:v>
                </c:pt>
                <c:pt idx="129">
                  <c:v>42704.041250000002</c:v>
                </c:pt>
                <c:pt idx="130">
                  <c:v>42734.041250000002</c:v>
                </c:pt>
                <c:pt idx="131">
                  <c:v>42766.041250000002</c:v>
                </c:pt>
                <c:pt idx="132">
                  <c:v>42794.041250000002</c:v>
                </c:pt>
                <c:pt idx="133">
                  <c:v>42825.041250000002</c:v>
                </c:pt>
                <c:pt idx="134">
                  <c:v>42853.041250000002</c:v>
                </c:pt>
                <c:pt idx="135">
                  <c:v>42886.041250000002</c:v>
                </c:pt>
                <c:pt idx="136">
                  <c:v>42916.041250000002</c:v>
                </c:pt>
                <c:pt idx="137">
                  <c:v>42947.041250000002</c:v>
                </c:pt>
                <c:pt idx="138">
                  <c:v>42978.041250000002</c:v>
                </c:pt>
                <c:pt idx="139">
                  <c:v>43007.041250000002</c:v>
                </c:pt>
                <c:pt idx="140">
                  <c:v>43039.041250000002</c:v>
                </c:pt>
                <c:pt idx="141">
                  <c:v>43069.041250000002</c:v>
                </c:pt>
                <c:pt idx="142">
                  <c:v>43098.041250000002</c:v>
                </c:pt>
                <c:pt idx="143">
                  <c:v>43131.041250000002</c:v>
                </c:pt>
                <c:pt idx="144">
                  <c:v>43159.041250000002</c:v>
                </c:pt>
                <c:pt idx="145">
                  <c:v>43187.041250000002</c:v>
                </c:pt>
                <c:pt idx="146">
                  <c:v>43220.041250000002</c:v>
                </c:pt>
                <c:pt idx="147">
                  <c:v>43251.041250000002</c:v>
                </c:pt>
                <c:pt idx="148">
                  <c:v>43280.041250000002</c:v>
                </c:pt>
                <c:pt idx="149">
                  <c:v>43312.041250000002</c:v>
                </c:pt>
                <c:pt idx="150">
                  <c:v>43343.041250000002</c:v>
                </c:pt>
                <c:pt idx="151">
                  <c:v>43371.041250000002</c:v>
                </c:pt>
                <c:pt idx="152">
                  <c:v>43404.041250000002</c:v>
                </c:pt>
                <c:pt idx="153">
                  <c:v>43434.041250000002</c:v>
                </c:pt>
                <c:pt idx="154">
                  <c:v>43465.041250000002</c:v>
                </c:pt>
                <c:pt idx="155">
                  <c:v>43496.041250000002</c:v>
                </c:pt>
                <c:pt idx="156">
                  <c:v>43524.041250000002</c:v>
                </c:pt>
                <c:pt idx="157">
                  <c:v>43553.041250000002</c:v>
                </c:pt>
                <c:pt idx="158">
                  <c:v>43585.041250000002</c:v>
                </c:pt>
                <c:pt idx="159">
                  <c:v>43616.041250000002</c:v>
                </c:pt>
                <c:pt idx="160">
                  <c:v>43644.041250000002</c:v>
                </c:pt>
                <c:pt idx="161">
                  <c:v>43677.041250000002</c:v>
                </c:pt>
                <c:pt idx="162">
                  <c:v>43707.041250000002</c:v>
                </c:pt>
                <c:pt idx="163">
                  <c:v>43738.041250000002</c:v>
                </c:pt>
                <c:pt idx="164">
                  <c:v>43769.041250000002</c:v>
                </c:pt>
                <c:pt idx="165">
                  <c:v>43798.041250000002</c:v>
                </c:pt>
                <c:pt idx="166">
                  <c:v>43830.041250000002</c:v>
                </c:pt>
                <c:pt idx="167">
                  <c:v>43861.041250000002</c:v>
                </c:pt>
                <c:pt idx="168">
                  <c:v>43889.041250000002</c:v>
                </c:pt>
                <c:pt idx="169">
                  <c:v>43921.041250000002</c:v>
                </c:pt>
                <c:pt idx="170">
                  <c:v>43951.041250000002</c:v>
                </c:pt>
                <c:pt idx="171">
                  <c:v>43980.041250000002</c:v>
                </c:pt>
                <c:pt idx="172">
                  <c:v>44012.041250000002</c:v>
                </c:pt>
                <c:pt idx="173">
                  <c:v>44043.041250000002</c:v>
                </c:pt>
                <c:pt idx="174">
                  <c:v>44074.041250000002</c:v>
                </c:pt>
                <c:pt idx="175">
                  <c:v>44104.041250000002</c:v>
                </c:pt>
                <c:pt idx="176">
                  <c:v>44134.041250000002</c:v>
                </c:pt>
                <c:pt idx="177">
                  <c:v>44165.041250000002</c:v>
                </c:pt>
                <c:pt idx="178">
                  <c:v>44196.041250000002</c:v>
                </c:pt>
                <c:pt idx="179">
                  <c:v>44225.041250000002</c:v>
                </c:pt>
                <c:pt idx="180">
                  <c:v>44253.041250000002</c:v>
                </c:pt>
                <c:pt idx="181">
                  <c:v>44286.041250000002</c:v>
                </c:pt>
                <c:pt idx="182">
                  <c:v>44316.041250000002</c:v>
                </c:pt>
                <c:pt idx="183">
                  <c:v>44347.041250000002</c:v>
                </c:pt>
                <c:pt idx="184">
                  <c:v>44377.041250000002</c:v>
                </c:pt>
                <c:pt idx="185">
                  <c:v>44407.041250000002</c:v>
                </c:pt>
                <c:pt idx="186">
                  <c:v>44439.041250000002</c:v>
                </c:pt>
                <c:pt idx="187">
                  <c:v>44469.041250000002</c:v>
                </c:pt>
                <c:pt idx="188">
                  <c:v>44498.041250000002</c:v>
                </c:pt>
                <c:pt idx="189">
                  <c:v>44530.041250000002</c:v>
                </c:pt>
                <c:pt idx="190">
                  <c:v>44561.041250000002</c:v>
                </c:pt>
                <c:pt idx="191">
                  <c:v>44592.041250000002</c:v>
                </c:pt>
                <c:pt idx="192">
                  <c:v>44620.041250000002</c:v>
                </c:pt>
                <c:pt idx="193">
                  <c:v>44651.041250000002</c:v>
                </c:pt>
                <c:pt idx="194">
                  <c:v>44680.041250000002</c:v>
                </c:pt>
                <c:pt idx="195">
                  <c:v>44712.041250000002</c:v>
                </c:pt>
                <c:pt idx="196">
                  <c:v>44742.041250000002</c:v>
                </c:pt>
                <c:pt idx="197">
                  <c:v>44771.041250000002</c:v>
                </c:pt>
                <c:pt idx="198">
                  <c:v>44804.041250000002</c:v>
                </c:pt>
                <c:pt idx="199">
                  <c:v>44834.041250000002</c:v>
                </c:pt>
                <c:pt idx="200">
                  <c:v>44865.041250000002</c:v>
                </c:pt>
                <c:pt idx="201">
                  <c:v>44895.041250000002</c:v>
                </c:pt>
                <c:pt idx="202">
                  <c:v>44925.041250000002</c:v>
                </c:pt>
                <c:pt idx="203">
                  <c:v>44957.041250000002</c:v>
                </c:pt>
                <c:pt idx="204">
                  <c:v>44985.041250000002</c:v>
                </c:pt>
                <c:pt idx="205">
                  <c:v>45016.041250000002</c:v>
                </c:pt>
                <c:pt idx="206">
                  <c:v>45044.041250000002</c:v>
                </c:pt>
                <c:pt idx="207">
                  <c:v>45077.041250000002</c:v>
                </c:pt>
                <c:pt idx="208">
                  <c:v>45107.041250000002</c:v>
                </c:pt>
                <c:pt idx="209">
                  <c:v>45138.041250000002</c:v>
                </c:pt>
                <c:pt idx="210">
                  <c:v>45169.041250000002</c:v>
                </c:pt>
                <c:pt idx="211">
                  <c:v>45198.041250000002</c:v>
                </c:pt>
                <c:pt idx="212">
                  <c:v>45230.041250000002</c:v>
                </c:pt>
                <c:pt idx="213">
                  <c:v>45260.041250000002</c:v>
                </c:pt>
                <c:pt idx="214">
                  <c:v>45289.041250000002</c:v>
                </c:pt>
                <c:pt idx="215">
                  <c:v>45322.041250000002</c:v>
                </c:pt>
                <c:pt idx="216">
                  <c:v>45351.041250000002</c:v>
                </c:pt>
                <c:pt idx="217">
                  <c:v>45378.041250000002</c:v>
                </c:pt>
                <c:pt idx="218">
                  <c:v>45412.041250000002</c:v>
                </c:pt>
                <c:pt idx="219">
                  <c:v>45443.041250000002</c:v>
                </c:pt>
                <c:pt idx="220">
                  <c:v>45471.041250000002</c:v>
                </c:pt>
                <c:pt idx="221">
                  <c:v>45504.041250000002</c:v>
                </c:pt>
                <c:pt idx="222">
                  <c:v>45534.041250000002</c:v>
                </c:pt>
                <c:pt idx="223">
                  <c:v>45565.041250000002</c:v>
                </c:pt>
                <c:pt idx="224">
                  <c:v>45596.041250000002</c:v>
                </c:pt>
                <c:pt idx="225">
                  <c:v>45625.041250000002</c:v>
                </c:pt>
                <c:pt idx="226">
                  <c:v>45657.041250000002</c:v>
                </c:pt>
                <c:pt idx="227">
                  <c:v>45688.041250000002</c:v>
                </c:pt>
                <c:pt idx="228">
                  <c:v>45716.041250000002</c:v>
                </c:pt>
                <c:pt idx="229">
                  <c:v>45747.041250000002</c:v>
                </c:pt>
                <c:pt idx="230">
                  <c:v>45777.041250000002</c:v>
                </c:pt>
                <c:pt idx="231">
                  <c:v>45807.041250000002</c:v>
                </c:pt>
                <c:pt idx="232">
                  <c:v>45838.041250000002</c:v>
                </c:pt>
                <c:pt idx="233">
                  <c:v>45869.041250000002</c:v>
                </c:pt>
                <c:pt idx="234">
                  <c:v>45898.041250000002</c:v>
                </c:pt>
                <c:pt idx="235">
                  <c:v>45930.041250000002</c:v>
                </c:pt>
                <c:pt idx="236">
                  <c:v>45961.041250000002</c:v>
                </c:pt>
                <c:pt idx="237">
                  <c:v>45989.041250000002</c:v>
                </c:pt>
                <c:pt idx="238">
                  <c:v>46022.041250000002</c:v>
                </c:pt>
                <c:pt idx="239">
                  <c:v>46052.041250000002</c:v>
                </c:pt>
                <c:pt idx="240">
                  <c:v>46080.041250000002</c:v>
                </c:pt>
                <c:pt idx="241">
                  <c:v>46112.041250000002</c:v>
                </c:pt>
                <c:pt idx="242">
                  <c:v>46142.041250000002</c:v>
                </c:pt>
                <c:pt idx="243">
                  <c:v>46171.041250000002</c:v>
                </c:pt>
                <c:pt idx="244">
                  <c:v>46203.041250000002</c:v>
                </c:pt>
                <c:pt idx="245">
                  <c:v>46209.041250000002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</c:numCache>
            </c:numRef>
          </c:cat>
          <c:val>
            <c:numRef>
              <c:f>Crecimiento!$I$2:$I$304</c:f>
              <c:numCache>
                <c:formatCode>0.0%</c:formatCode>
                <c:ptCount val="303"/>
                <c:pt idx="0">
                  <c:v>-3.865779226169086E-2</c:v>
                </c:pt>
                <c:pt idx="1">
                  <c:v>-4.6338921639987762E-2</c:v>
                </c:pt>
                <c:pt idx="2">
                  <c:v>1.7982792842573536E-2</c:v>
                </c:pt>
                <c:pt idx="3">
                  <c:v>6.7909865312811402E-2</c:v>
                </c:pt>
                <c:pt idx="4">
                  <c:v>-0.13795590900994015</c:v>
                </c:pt>
                <c:pt idx="5">
                  <c:v>1.3865234379570879E-2</c:v>
                </c:pt>
                <c:pt idx="6">
                  <c:v>-7.0750404093160912E-2</c:v>
                </c:pt>
                <c:pt idx="7">
                  <c:v>-1.6670365866877423E-2</c:v>
                </c:pt>
                <c:pt idx="8">
                  <c:v>-1.4241912474590168E-2</c:v>
                </c:pt>
                <c:pt idx="9">
                  <c:v>-8.1320445992988599E-2</c:v>
                </c:pt>
                <c:pt idx="10">
                  <c:v>4.9873210771580911E-2</c:v>
                </c:pt>
                <c:pt idx="11">
                  <c:v>1.0679145651342425E-2</c:v>
                </c:pt>
                <c:pt idx="12">
                  <c:v>-5.9461630936205045E-2</c:v>
                </c:pt>
                <c:pt idx="13">
                  <c:v>2.7239019723067637E-2</c:v>
                </c:pt>
                <c:pt idx="14">
                  <c:v>6.5289052302083928E-2</c:v>
                </c:pt>
                <c:pt idx="15">
                  <c:v>-3.0477421148466743E-2</c:v>
                </c:pt>
                <c:pt idx="16">
                  <c:v>7.8125025012610205E-2</c:v>
                </c:pt>
                <c:pt idx="17">
                  <c:v>-7.4829952602463834E-2</c:v>
                </c:pt>
                <c:pt idx="18">
                  <c:v>-5.5421668287103376E-2</c:v>
                </c:pt>
                <c:pt idx="19">
                  <c:v>8.7811239480962699E-2</c:v>
                </c:pt>
                <c:pt idx="20">
                  <c:v>1.4178157018911008E-2</c:v>
                </c:pt>
                <c:pt idx="21">
                  <c:v>-5.6635345291983552E-2</c:v>
                </c:pt>
                <c:pt idx="22">
                  <c:v>9.1220088946346589E-2</c:v>
                </c:pt>
                <c:pt idx="23">
                  <c:v>-8.5914757589425905E-3</c:v>
                </c:pt>
                <c:pt idx="24">
                  <c:v>-6.3122243059059779E-2</c:v>
                </c:pt>
                <c:pt idx="25">
                  <c:v>-5.1055279317304247E-2</c:v>
                </c:pt>
                <c:pt idx="26">
                  <c:v>2.5773209274557729E-2</c:v>
                </c:pt>
                <c:pt idx="27">
                  <c:v>0.15613825493175915</c:v>
                </c:pt>
                <c:pt idx="28">
                  <c:v>-2.9833476830027905E-2</c:v>
                </c:pt>
                <c:pt idx="29">
                  <c:v>-4.4630982160141164E-2</c:v>
                </c:pt>
                <c:pt idx="30">
                  <c:v>-4.0288412709388766E-2</c:v>
                </c:pt>
                <c:pt idx="31">
                  <c:v>0.10032666284142255</c:v>
                </c:pt>
                <c:pt idx="32">
                  <c:v>2.0719211768172929E-2</c:v>
                </c:pt>
                <c:pt idx="33">
                  <c:v>-7.8155870380916093E-2</c:v>
                </c:pt>
                <c:pt idx="34">
                  <c:v>-1.8319006196827359E-2</c:v>
                </c:pt>
                <c:pt idx="35">
                  <c:v>-1.6949100125965955E-2</c:v>
                </c:pt>
                <c:pt idx="36">
                  <c:v>2.8994951236559263E-2</c:v>
                </c:pt>
                <c:pt idx="37">
                  <c:v>-8.0945695725021305E-2</c:v>
                </c:pt>
                <c:pt idx="38">
                  <c:v>-1.9642478262705487E-2</c:v>
                </c:pt>
                <c:pt idx="39">
                  <c:v>8.5182001477357439E-3</c:v>
                </c:pt>
                <c:pt idx="40">
                  <c:v>-8.1680909046798145E-2</c:v>
                </c:pt>
                <c:pt idx="41">
                  <c:v>-4.4166235901638817E-2</c:v>
                </c:pt>
                <c:pt idx="42">
                  <c:v>1.5898245602314676E-2</c:v>
                </c:pt>
                <c:pt idx="43">
                  <c:v>8.6981602816496251E-2</c:v>
                </c:pt>
                <c:pt idx="44">
                  <c:v>-4.0353832950878354E-2</c:v>
                </c:pt>
                <c:pt idx="45">
                  <c:v>-7.3258171820414941E-2</c:v>
                </c:pt>
                <c:pt idx="46">
                  <c:v>-2.0449890813684091E-3</c:v>
                </c:pt>
                <c:pt idx="47">
                  <c:v>-0.1338745276872646</c:v>
                </c:pt>
                <c:pt idx="48">
                  <c:v>-3.3661393868634426E-2</c:v>
                </c:pt>
                <c:pt idx="49">
                  <c:v>-1.820475771789587E-2</c:v>
                </c:pt>
                <c:pt idx="50">
                  <c:v>1.3195227928378017E-2</c:v>
                </c:pt>
                <c:pt idx="51">
                  <c:v>-5.6871398320199051E-2</c:v>
                </c:pt>
                <c:pt idx="52">
                  <c:v>-6.5758223790555181E-2</c:v>
                </c:pt>
                <c:pt idx="53">
                  <c:v>4.6989526266619341E-2</c:v>
                </c:pt>
                <c:pt idx="54">
                  <c:v>-4.7856414219544785E-2</c:v>
                </c:pt>
                <c:pt idx="55">
                  <c:v>3.5354855644370353E-2</c:v>
                </c:pt>
                <c:pt idx="56">
                  <c:v>1.3204306749932782E-2</c:v>
                </c:pt>
                <c:pt idx="57">
                  <c:v>1.0035678811667559E-2</c:v>
                </c:pt>
                <c:pt idx="58">
                  <c:v>0.13012980062681145</c:v>
                </c:pt>
                <c:pt idx="59">
                  <c:v>-4.8828954775163247E-2</c:v>
                </c:pt>
                <c:pt idx="60">
                  <c:v>-4.4097663790435226E-2</c:v>
                </c:pt>
                <c:pt idx="61">
                  <c:v>3.4676372486482254E-2</c:v>
                </c:pt>
                <c:pt idx="62">
                  <c:v>4.8579453011527107E-2</c:v>
                </c:pt>
                <c:pt idx="63">
                  <c:v>-0.11825027628458562</c:v>
                </c:pt>
                <c:pt idx="64">
                  <c:v>4.9591294348610759E-2</c:v>
                </c:pt>
                <c:pt idx="65">
                  <c:v>-8.1081054424906318E-3</c:v>
                </c:pt>
                <c:pt idx="66">
                  <c:v>3.7868149771889348E-2</c:v>
                </c:pt>
                <c:pt idx="67">
                  <c:v>-5.9614871927998303E-2</c:v>
                </c:pt>
                <c:pt idx="68">
                  <c:v>5.0138502576838162E-2</c:v>
                </c:pt>
                <c:pt idx="69">
                  <c:v>-4.0659077776172614E-2</c:v>
                </c:pt>
                <c:pt idx="70">
                  <c:v>1.7852351679299217E-2</c:v>
                </c:pt>
                <c:pt idx="71">
                  <c:v>4.067555045220006E-2</c:v>
                </c:pt>
                <c:pt idx="72">
                  <c:v>-0.16637333633514273</c:v>
                </c:pt>
                <c:pt idx="73">
                  <c:v>6.9653632892634709E-2</c:v>
                </c:pt>
                <c:pt idx="74">
                  <c:v>6.282510781152606E-2</c:v>
                </c:pt>
                <c:pt idx="75">
                  <c:v>-4.6547103709094984E-2</c:v>
                </c:pt>
                <c:pt idx="76">
                  <c:v>-5.7194263906643616E-2</c:v>
                </c:pt>
                <c:pt idx="77">
                  <c:v>4.3134813278008277E-2</c:v>
                </c:pt>
                <c:pt idx="78">
                  <c:v>-0.13331908044794805</c:v>
                </c:pt>
                <c:pt idx="79">
                  <c:v>-2.190520576855437E-2</c:v>
                </c:pt>
                <c:pt idx="80">
                  <c:v>3.1483969455736727E-3</c:v>
                </c:pt>
                <c:pt idx="81">
                  <c:v>-4.9150468946616899E-2</c:v>
                </c:pt>
                <c:pt idx="82">
                  <c:v>-7.3897167938601016E-2</c:v>
                </c:pt>
                <c:pt idx="83">
                  <c:v>-0.12014834324923729</c:v>
                </c:pt>
                <c:pt idx="84">
                  <c:v>-6.1702624694342401E-2</c:v>
                </c:pt>
                <c:pt idx="85">
                  <c:v>2.3504291736363925E-2</c:v>
                </c:pt>
                <c:pt idx="86">
                  <c:v>-3.5935009143893581E-2</c:v>
                </c:pt>
                <c:pt idx="87">
                  <c:v>4.3467888248000408E-2</c:v>
                </c:pt>
                <c:pt idx="88">
                  <c:v>-3.0952370358003911E-3</c:v>
                </c:pt>
                <c:pt idx="89">
                  <c:v>0.10935022859898447</c:v>
                </c:pt>
                <c:pt idx="90">
                  <c:v>-6.5599557320868973E-3</c:v>
                </c:pt>
                <c:pt idx="91">
                  <c:v>-3.9324413364448918E-2</c:v>
                </c:pt>
                <c:pt idx="92">
                  <c:v>1.8746783544721257E-2</c:v>
                </c:pt>
                <c:pt idx="93">
                  <c:v>5.016179434618051E-2</c:v>
                </c:pt>
                <c:pt idx="94">
                  <c:v>8.7390030580827505E-2</c:v>
                </c:pt>
                <c:pt idx="95">
                  <c:v>6.4626924482212633E-2</c:v>
                </c:pt>
                <c:pt idx="96">
                  <c:v>-8.3810071119943319E-2</c:v>
                </c:pt>
                <c:pt idx="97">
                  <c:v>2.7932950903283071E-2</c:v>
                </c:pt>
                <c:pt idx="98">
                  <c:v>-1.0474247093109068E-2</c:v>
                </c:pt>
                <c:pt idx="99">
                  <c:v>-5.3428789592029791E-2</c:v>
                </c:pt>
                <c:pt idx="100">
                  <c:v>8.0333205082370407E-2</c:v>
                </c:pt>
                <c:pt idx="101">
                  <c:v>-3.6686716931468299E-2</c:v>
                </c:pt>
                <c:pt idx="102">
                  <c:v>0.10048964073944888</c:v>
                </c:pt>
                <c:pt idx="103">
                  <c:v>1.713407945161749E-2</c:v>
                </c:pt>
                <c:pt idx="104">
                  <c:v>-1.0286481741572984E-2</c:v>
                </c:pt>
                <c:pt idx="105">
                  <c:v>-1.8573936239078104E-2</c:v>
                </c:pt>
                <c:pt idx="106">
                  <c:v>0.10274914375333521</c:v>
                </c:pt>
                <c:pt idx="107">
                  <c:v>-4.433499558486198E-2</c:v>
                </c:pt>
                <c:pt idx="108">
                  <c:v>-4.784238495765003E-2</c:v>
                </c:pt>
                <c:pt idx="109">
                  <c:v>-6.0240974817813098E-2</c:v>
                </c:pt>
                <c:pt idx="110">
                  <c:v>-2.1564109766874839E-2</c:v>
                </c:pt>
                <c:pt idx="111">
                  <c:v>2.5353764492751951E-2</c:v>
                </c:pt>
                <c:pt idx="112">
                  <c:v>-9.2320039623950079E-2</c:v>
                </c:pt>
                <c:pt idx="113">
                  <c:v>-4.7936068279402777E-3</c:v>
                </c:pt>
                <c:pt idx="114">
                  <c:v>-2.731561643808933E-2</c:v>
                </c:pt>
                <c:pt idx="115">
                  <c:v>-4.0893123225133721E-2</c:v>
                </c:pt>
                <c:pt idx="116">
                  <c:v>8.3530775899767207E-3</c:v>
                </c:pt>
                <c:pt idx="117">
                  <c:v>-2.9725033707766135E-2</c:v>
                </c:pt>
                <c:pt idx="118">
                  <c:v>-6.8957554625229456E-2</c:v>
                </c:pt>
                <c:pt idx="119">
                  <c:v>8.9447231358217971E-2</c:v>
                </c:pt>
                <c:pt idx="120">
                  <c:v>-4.2578779805854561E-2</c:v>
                </c:pt>
                <c:pt idx="121">
                  <c:v>2.0874265617265353E-2</c:v>
                </c:pt>
                <c:pt idx="122">
                  <c:v>-7.1167894729533776E-2</c:v>
                </c:pt>
                <c:pt idx="123">
                  <c:v>1.6461850645245857E-2</c:v>
                </c:pt>
                <c:pt idx="124">
                  <c:v>1.7050179119754372E-2</c:v>
                </c:pt>
                <c:pt idx="125">
                  <c:v>-5.9712762941172337E-2</c:v>
                </c:pt>
                <c:pt idx="126">
                  <c:v>2.8271767891625332E-2</c:v>
                </c:pt>
                <c:pt idx="127">
                  <c:v>7.6054967308404775E-2</c:v>
                </c:pt>
                <c:pt idx="128">
                  <c:v>0.12939871546122039</c:v>
                </c:pt>
                <c:pt idx="129">
                  <c:v>-3.3476173189140535E-2</c:v>
                </c:pt>
                <c:pt idx="130">
                  <c:v>-3.2033985890793648E-3</c:v>
                </c:pt>
                <c:pt idx="131">
                  <c:v>-1.1087653075428028E-2</c:v>
                </c:pt>
                <c:pt idx="132">
                  <c:v>-6.7683973590084934E-2</c:v>
                </c:pt>
                <c:pt idx="133">
                  <c:v>1.1199598182520143E-2</c:v>
                </c:pt>
                <c:pt idx="134">
                  <c:v>9.0070539755379153E-2</c:v>
                </c:pt>
                <c:pt idx="135">
                  <c:v>-4.010418509365643E-2</c:v>
                </c:pt>
                <c:pt idx="136">
                  <c:v>7.1428595217735147E-2</c:v>
                </c:pt>
                <c:pt idx="137">
                  <c:v>2.1082597424824545E-2</c:v>
                </c:pt>
                <c:pt idx="138">
                  <c:v>-5.2631561990978293E-2</c:v>
                </c:pt>
                <c:pt idx="139">
                  <c:v>0.12238716526631177</c:v>
                </c:pt>
                <c:pt idx="140">
                  <c:v>-9.3037358075122034E-3</c:v>
                </c:pt>
                <c:pt idx="141">
                  <c:v>-3.8383824275399658E-2</c:v>
                </c:pt>
                <c:pt idx="142">
                  <c:v>-8.5836883220495874E-3</c:v>
                </c:pt>
                <c:pt idx="143">
                  <c:v>1.7467243390314691E-2</c:v>
                </c:pt>
                <c:pt idx="144">
                  <c:v>9.1069151049114616E-3</c:v>
                </c:pt>
                <c:pt idx="145">
                  <c:v>-8.8935408822510276E-3</c:v>
                </c:pt>
                <c:pt idx="146">
                  <c:v>2.2597169749050572E-2</c:v>
                </c:pt>
                <c:pt idx="147">
                  <c:v>-1.0730249199586206E-2</c:v>
                </c:pt>
                <c:pt idx="148">
                  <c:v>-3.3542004459874097E-2</c:v>
                </c:pt>
                <c:pt idx="149">
                  <c:v>1.9922686764574982E-2</c:v>
                </c:pt>
                <c:pt idx="150">
                  <c:v>9.9098967816262373E-3</c:v>
                </c:pt>
                <c:pt idx="151">
                  <c:v>0.12402383757011926</c:v>
                </c:pt>
                <c:pt idx="152">
                  <c:v>-2.6919224334954861E-2</c:v>
                </c:pt>
                <c:pt idx="153">
                  <c:v>-4.7325384688705729E-2</c:v>
                </c:pt>
                <c:pt idx="154">
                  <c:v>-2.3496211117222332E-2</c:v>
                </c:pt>
                <c:pt idx="155">
                  <c:v>2.4719088375382059E-2</c:v>
                </c:pt>
                <c:pt idx="156">
                  <c:v>-5.4484912170639888E-2</c:v>
                </c:pt>
                <c:pt idx="157">
                  <c:v>-6.4361619339514675E-3</c:v>
                </c:pt>
                <c:pt idx="158">
                  <c:v>-7.2984447357376303E-2</c:v>
                </c:pt>
                <c:pt idx="159">
                  <c:v>-9.5264609910524767E-3</c:v>
                </c:pt>
                <c:pt idx="160">
                  <c:v>-0.11368700014989319</c:v>
                </c:pt>
                <c:pt idx="161">
                  <c:v>-2.8062464895573291E-2</c:v>
                </c:pt>
                <c:pt idx="162">
                  <c:v>3.4065103295205512E-2</c:v>
                </c:pt>
                <c:pt idx="163">
                  <c:v>2.1655080643119939E-2</c:v>
                </c:pt>
                <c:pt idx="164">
                  <c:v>3.5781017669709314E-2</c:v>
                </c:pt>
                <c:pt idx="165">
                  <c:v>-1.1411013333333275E-2</c:v>
                </c:pt>
                <c:pt idx="166">
                  <c:v>-3.7721324095458031E-2</c:v>
                </c:pt>
                <c:pt idx="167">
                  <c:v>4.561309364099797E-2</c:v>
                </c:pt>
                <c:pt idx="168">
                  <c:v>3.7583518930957682E-2</c:v>
                </c:pt>
                <c:pt idx="169">
                  <c:v>5.5229142185664104E-2</c:v>
                </c:pt>
                <c:pt idx="170">
                  <c:v>-1.1040092969204052E-2</c:v>
                </c:pt>
                <c:pt idx="171">
                  <c:v>-4.0691192865105918E-2</c:v>
                </c:pt>
                <c:pt idx="172">
                  <c:v>-1.4827018121911006E-2</c:v>
                </c:pt>
                <c:pt idx="173">
                  <c:v>3.583617747440293E-2</c:v>
                </c:pt>
                <c:pt idx="174">
                  <c:v>1.7094017094014813E-3</c:v>
                </c:pt>
                <c:pt idx="175">
                  <c:v>0.11322549952426253</c:v>
                </c:pt>
                <c:pt idx="176">
                  <c:v>-1.6531503431066796E-2</c:v>
                </c:pt>
                <c:pt idx="177">
                  <c:v>-5.6781406295969394E-2</c:v>
                </c:pt>
                <c:pt idx="178">
                  <c:v>-5.0823792236805332E-2</c:v>
                </c:pt>
                <c:pt idx="179">
                  <c:v>7.055306427503738E-2</c:v>
                </c:pt>
                <c:pt idx="180">
                  <c:v>-4.2370455196106382E-2</c:v>
                </c:pt>
                <c:pt idx="181">
                  <c:v>-2.0000000000000018E-3</c:v>
                </c:pt>
                <c:pt idx="182">
                  <c:v>-2.9664541169947323E-2</c:v>
                </c:pt>
                <c:pt idx="183">
                  <c:v>1.9790783149561841E-2</c:v>
                </c:pt>
                <c:pt idx="184">
                  <c:v>9.7424759540800432E-2</c:v>
                </c:pt>
                <c:pt idx="185">
                  <c:v>-9.1344798421201023E-2</c:v>
                </c:pt>
                <c:pt idx="186">
                  <c:v>4.354221829949978E-2</c:v>
                </c:pt>
                <c:pt idx="187">
                  <c:v>4.3598403438747324E-2</c:v>
                </c:pt>
                <c:pt idx="188">
                  <c:v>-3.2670032670032656E-2</c:v>
                </c:pt>
                <c:pt idx="189">
                  <c:v>8.5778781038374774E-2</c:v>
                </c:pt>
                <c:pt idx="190">
                  <c:v>4.0604026845637575E-2</c:v>
                </c:pt>
                <c:pt idx="191">
                  <c:v>3.6882393876130903E-2</c:v>
                </c:pt>
                <c:pt idx="192">
                  <c:v>2.7162258756254332E-2</c:v>
                </c:pt>
                <c:pt idx="193">
                  <c:v>-1.7901017901017835E-2</c:v>
                </c:pt>
                <c:pt idx="194">
                  <c:v>-6.498194945848379E-2</c:v>
                </c:pt>
                <c:pt idx="195">
                  <c:v>0.11898641204553795</c:v>
                </c:pt>
                <c:pt idx="196">
                  <c:v>-9.2938041305796082E-2</c:v>
                </c:pt>
                <c:pt idx="197">
                  <c:v>0.10003664345914265</c:v>
                </c:pt>
                <c:pt idx="198">
                  <c:v>1.4121144555927057E-2</c:v>
                </c:pt>
                <c:pt idx="199">
                  <c:v>-0.13915547024952024</c:v>
                </c:pt>
                <c:pt idx="200">
                  <c:v>-4.6951219512194942E-2</c:v>
                </c:pt>
                <c:pt idx="201">
                  <c:v>-8.1644995464167369E-3</c:v>
                </c:pt>
                <c:pt idx="202">
                  <c:v>-7.9855314412910383E-2</c:v>
                </c:pt>
                <c:pt idx="203">
                  <c:v>-2.0975211114137915E-2</c:v>
                </c:pt>
                <c:pt idx="204">
                  <c:v>-3.2929399367755519E-2</c:v>
                </c:pt>
                <c:pt idx="205">
                  <c:v>-6.9151544874938686E-2</c:v>
                </c:pt>
                <c:pt idx="206">
                  <c:v>0.13340744858254605</c:v>
                </c:pt>
                <c:pt idx="207">
                  <c:v>-5.4898870501707497E-2</c:v>
                </c:pt>
                <c:pt idx="208">
                  <c:v>-3.1790437436419072E-2</c:v>
                </c:pt>
                <c:pt idx="209">
                  <c:v>2.5026068821689229E-2</c:v>
                </c:pt>
                <c:pt idx="210">
                  <c:v>0.10547550432276642</c:v>
                </c:pt>
                <c:pt idx="211">
                  <c:v>4.992435703479603E-2</c:v>
                </c:pt>
                <c:pt idx="212">
                  <c:v>-5.9476380193511758E-2</c:v>
                </c:pt>
                <c:pt idx="213">
                  <c:v>-7.9381713387477126E-2</c:v>
                </c:pt>
                <c:pt idx="214">
                  <c:v>-2.726809378185524E-2</c:v>
                </c:pt>
                <c:pt idx="215">
                  <c:v>3.5902851108764455E-2</c:v>
                </c:pt>
                <c:pt idx="216">
                  <c:v>-1.865284974093262E-2</c:v>
                </c:pt>
                <c:pt idx="217">
                  <c:v>8.2445316881660347E-2</c:v>
                </c:pt>
                <c:pt idx="218">
                  <c:v>1.9668446192748767E-3</c:v>
                </c:pt>
                <c:pt idx="219">
                  <c:v>0.12448657187993706</c:v>
                </c:pt>
                <c:pt idx="220">
                  <c:v>-4.4960772480386324E-2</c:v>
                </c:pt>
                <c:pt idx="221">
                  <c:v>2.9512270891581371E-2</c:v>
                </c:pt>
                <c:pt idx="222">
                  <c:v>1.0992462311557816E-2</c:v>
                </c:pt>
                <c:pt idx="223">
                  <c:v>0.10824921684650191</c:v>
                </c:pt>
                <c:pt idx="224">
                  <c:v>5.0841258229700204E-2</c:v>
                </c:pt>
                <c:pt idx="225">
                  <c:v>-7.0068027210884343E-2</c:v>
                </c:pt>
                <c:pt idx="226">
                  <c:v>-5.1000645577792159E-2</c:v>
                </c:pt>
                <c:pt idx="227">
                  <c:v>7.8074170461939207E-3</c:v>
                </c:pt>
                <c:pt idx="228">
                  <c:v>-8.3755588673621428E-2</c:v>
                </c:pt>
                <c:pt idx="229">
                  <c:v>-2.9505351460804241E-2</c:v>
                </c:pt>
                <c:pt idx="230">
                  <c:v>3.4833091436863306E-3</c:v>
                </c:pt>
                <c:pt idx="231">
                  <c:v>3.4954849985435743E-3</c:v>
                </c:pt>
                <c:pt idx="232">
                  <c:v>-2.3606370875995375E-2</c:v>
                </c:pt>
                <c:pt idx="233">
                  <c:v>3.1383737517831634E-3</c:v>
                </c:pt>
                <c:pt idx="234">
                  <c:v>-9.5250387196696096E-2</c:v>
                </c:pt>
                <c:pt idx="235">
                  <c:v>7.7308120133481761E-2</c:v>
                </c:pt>
                <c:pt idx="236">
                  <c:v>-7.7475628527449825E-2</c:v>
                </c:pt>
                <c:pt idx="237">
                  <c:v>1.5104166666666696E-2</c:v>
                </c:pt>
                <c:pt idx="238">
                  <c:v>-8.008266597778424E-3</c:v>
                </c:pt>
                <c:pt idx="239">
                  <c:v>-0.10455702058755489</c:v>
                </c:pt>
                <c:pt idx="240">
                  <c:v>1.8854584020739917E-2</c:v>
                </c:pt>
                <c:pt idx="241">
                  <c:v>7.4177215189873413E-2</c:v>
                </c:pt>
                <c:pt idx="242">
                  <c:v>2.8645833333333481E-2</c:v>
                </c:pt>
                <c:pt idx="243">
                  <c:v>-8.5205267234701454E-3</c:v>
                </c:pt>
                <c:pt idx="244">
                  <c:v>-1.2241775057383442E-2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E4-44F4-BEE7-70013A329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607488"/>
        <c:axId val="1929124208"/>
      </c:lineChart>
      <c:dateAx>
        <c:axId val="224607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9124208"/>
        <c:crosses val="autoZero"/>
        <c:auto val="0"/>
        <c:lblOffset val="100"/>
        <c:baseTimeUnit val="months"/>
        <c:majorUnit val="2"/>
        <c:majorTimeUnit val="years"/>
      </c:dateAx>
      <c:valAx>
        <c:axId val="192912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Variación mensual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460748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PEÑOLES — Tasa de crecimiento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PEÑOLES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Crecimiento!$A$2:$A$304</c:f>
              <c:numCache>
                <c:formatCode>m/d/yyyy</c:formatCode>
                <c:ptCount val="303"/>
                <c:pt idx="0">
                  <c:v>38776.041250000002</c:v>
                </c:pt>
                <c:pt idx="1">
                  <c:v>38807.041250000002</c:v>
                </c:pt>
                <c:pt idx="2">
                  <c:v>38835.041250000002</c:v>
                </c:pt>
                <c:pt idx="3">
                  <c:v>38868.041250000002</c:v>
                </c:pt>
                <c:pt idx="4">
                  <c:v>38898.041250000002</c:v>
                </c:pt>
                <c:pt idx="5">
                  <c:v>38929.041250000002</c:v>
                </c:pt>
                <c:pt idx="6">
                  <c:v>38960.041250000002</c:v>
                </c:pt>
                <c:pt idx="7">
                  <c:v>38989.041250000002</c:v>
                </c:pt>
                <c:pt idx="8">
                  <c:v>39021.041250000002</c:v>
                </c:pt>
                <c:pt idx="9">
                  <c:v>39051.041250000002</c:v>
                </c:pt>
                <c:pt idx="10">
                  <c:v>39080.041250000002</c:v>
                </c:pt>
                <c:pt idx="11">
                  <c:v>39113.041250000002</c:v>
                </c:pt>
                <c:pt idx="12">
                  <c:v>39141.041250000002</c:v>
                </c:pt>
                <c:pt idx="13">
                  <c:v>39171.041250000002</c:v>
                </c:pt>
                <c:pt idx="14">
                  <c:v>39202.041250000002</c:v>
                </c:pt>
                <c:pt idx="15">
                  <c:v>39233.041250000002</c:v>
                </c:pt>
                <c:pt idx="16">
                  <c:v>39262.041250000002</c:v>
                </c:pt>
                <c:pt idx="17">
                  <c:v>39294.041250000002</c:v>
                </c:pt>
                <c:pt idx="18">
                  <c:v>39325.041250000002</c:v>
                </c:pt>
                <c:pt idx="19">
                  <c:v>39353.041250000002</c:v>
                </c:pt>
                <c:pt idx="20">
                  <c:v>39386.041250000002</c:v>
                </c:pt>
                <c:pt idx="21">
                  <c:v>39416.041250000002</c:v>
                </c:pt>
                <c:pt idx="22">
                  <c:v>39447.041250000002</c:v>
                </c:pt>
                <c:pt idx="23">
                  <c:v>39478.041250000002</c:v>
                </c:pt>
                <c:pt idx="24">
                  <c:v>39507.041250000002</c:v>
                </c:pt>
                <c:pt idx="25">
                  <c:v>39538.041250000002</c:v>
                </c:pt>
                <c:pt idx="26">
                  <c:v>39568.041250000002</c:v>
                </c:pt>
                <c:pt idx="27">
                  <c:v>39598.041250000002</c:v>
                </c:pt>
                <c:pt idx="28">
                  <c:v>39629.041250000002</c:v>
                </c:pt>
                <c:pt idx="29">
                  <c:v>39660.041250000002</c:v>
                </c:pt>
                <c:pt idx="30">
                  <c:v>39689.041250000002</c:v>
                </c:pt>
                <c:pt idx="31">
                  <c:v>39721.041250000002</c:v>
                </c:pt>
                <c:pt idx="32">
                  <c:v>39752.041250000002</c:v>
                </c:pt>
                <c:pt idx="33">
                  <c:v>39780.041250000002</c:v>
                </c:pt>
                <c:pt idx="34">
                  <c:v>39813.041250000002</c:v>
                </c:pt>
                <c:pt idx="35">
                  <c:v>39843.041250000002</c:v>
                </c:pt>
                <c:pt idx="36">
                  <c:v>39871.041250000002</c:v>
                </c:pt>
                <c:pt idx="37">
                  <c:v>39903.041250000002</c:v>
                </c:pt>
                <c:pt idx="38">
                  <c:v>39933.041250000002</c:v>
                </c:pt>
                <c:pt idx="39">
                  <c:v>39962.041250000002</c:v>
                </c:pt>
                <c:pt idx="40">
                  <c:v>39994.041250000002</c:v>
                </c:pt>
                <c:pt idx="41">
                  <c:v>40025.041250000002</c:v>
                </c:pt>
                <c:pt idx="42">
                  <c:v>40056.041250000002</c:v>
                </c:pt>
                <c:pt idx="43">
                  <c:v>40086.041250000002</c:v>
                </c:pt>
                <c:pt idx="44">
                  <c:v>40116.041250000002</c:v>
                </c:pt>
                <c:pt idx="45">
                  <c:v>40147.041250000002</c:v>
                </c:pt>
                <c:pt idx="46">
                  <c:v>40178.041250000002</c:v>
                </c:pt>
                <c:pt idx="47">
                  <c:v>40207.041250000002</c:v>
                </c:pt>
                <c:pt idx="48">
                  <c:v>40235.041250000002</c:v>
                </c:pt>
                <c:pt idx="49">
                  <c:v>40268.041250000002</c:v>
                </c:pt>
                <c:pt idx="50">
                  <c:v>40298.041250000002</c:v>
                </c:pt>
                <c:pt idx="51">
                  <c:v>40329.041250000002</c:v>
                </c:pt>
                <c:pt idx="52">
                  <c:v>40359.041250000002</c:v>
                </c:pt>
                <c:pt idx="53">
                  <c:v>40389.041250000002</c:v>
                </c:pt>
                <c:pt idx="54">
                  <c:v>40421.041250000002</c:v>
                </c:pt>
                <c:pt idx="55">
                  <c:v>40451.041250000002</c:v>
                </c:pt>
                <c:pt idx="56">
                  <c:v>40480.041250000002</c:v>
                </c:pt>
                <c:pt idx="57">
                  <c:v>40512.041250000002</c:v>
                </c:pt>
                <c:pt idx="58">
                  <c:v>40543.041250000002</c:v>
                </c:pt>
                <c:pt idx="59">
                  <c:v>40574.041250000002</c:v>
                </c:pt>
                <c:pt idx="60">
                  <c:v>40602.041250000002</c:v>
                </c:pt>
                <c:pt idx="61">
                  <c:v>40633.041250000002</c:v>
                </c:pt>
                <c:pt idx="62">
                  <c:v>40662.041250000002</c:v>
                </c:pt>
                <c:pt idx="63">
                  <c:v>40694.041250000002</c:v>
                </c:pt>
                <c:pt idx="64">
                  <c:v>40724.041250000002</c:v>
                </c:pt>
                <c:pt idx="65">
                  <c:v>40753.041250000002</c:v>
                </c:pt>
                <c:pt idx="66">
                  <c:v>40786.041250000002</c:v>
                </c:pt>
                <c:pt idx="67">
                  <c:v>40816.041250000002</c:v>
                </c:pt>
                <c:pt idx="68">
                  <c:v>40847.041250000002</c:v>
                </c:pt>
                <c:pt idx="69">
                  <c:v>40877.041250000002</c:v>
                </c:pt>
                <c:pt idx="70">
                  <c:v>40907.041250000002</c:v>
                </c:pt>
                <c:pt idx="71">
                  <c:v>40939.041250000002</c:v>
                </c:pt>
                <c:pt idx="72">
                  <c:v>40968.041250000002</c:v>
                </c:pt>
                <c:pt idx="73">
                  <c:v>40998.041250000002</c:v>
                </c:pt>
                <c:pt idx="74">
                  <c:v>41029.041250000002</c:v>
                </c:pt>
                <c:pt idx="75">
                  <c:v>41060.041250000002</c:v>
                </c:pt>
                <c:pt idx="76">
                  <c:v>41089.041250000002</c:v>
                </c:pt>
                <c:pt idx="77">
                  <c:v>41121.041250000002</c:v>
                </c:pt>
                <c:pt idx="78">
                  <c:v>41152.041250000002</c:v>
                </c:pt>
                <c:pt idx="79">
                  <c:v>41180.041250000002</c:v>
                </c:pt>
                <c:pt idx="80">
                  <c:v>41213.041250000002</c:v>
                </c:pt>
                <c:pt idx="81">
                  <c:v>41243.041250000002</c:v>
                </c:pt>
                <c:pt idx="82">
                  <c:v>41274.041250000002</c:v>
                </c:pt>
                <c:pt idx="83">
                  <c:v>41305.041250000002</c:v>
                </c:pt>
                <c:pt idx="84">
                  <c:v>41333.041250000002</c:v>
                </c:pt>
                <c:pt idx="85">
                  <c:v>41360.041250000002</c:v>
                </c:pt>
                <c:pt idx="86">
                  <c:v>41394.041250000002</c:v>
                </c:pt>
                <c:pt idx="87">
                  <c:v>41425.041250000002</c:v>
                </c:pt>
                <c:pt idx="88">
                  <c:v>41453.041250000002</c:v>
                </c:pt>
                <c:pt idx="89">
                  <c:v>41486.041250000002</c:v>
                </c:pt>
                <c:pt idx="90">
                  <c:v>41516.041250000002</c:v>
                </c:pt>
                <c:pt idx="91">
                  <c:v>41547.041250000002</c:v>
                </c:pt>
                <c:pt idx="92">
                  <c:v>41578.041250000002</c:v>
                </c:pt>
                <c:pt idx="93">
                  <c:v>41607.041250000002</c:v>
                </c:pt>
                <c:pt idx="94">
                  <c:v>41639.041250000002</c:v>
                </c:pt>
                <c:pt idx="95">
                  <c:v>41670.041250000002</c:v>
                </c:pt>
                <c:pt idx="96">
                  <c:v>41698.041250000002</c:v>
                </c:pt>
                <c:pt idx="97">
                  <c:v>41729.041250000002</c:v>
                </c:pt>
                <c:pt idx="98">
                  <c:v>41759.041250000002</c:v>
                </c:pt>
                <c:pt idx="99">
                  <c:v>41789.041250000002</c:v>
                </c:pt>
                <c:pt idx="100">
                  <c:v>41820.041250000002</c:v>
                </c:pt>
                <c:pt idx="101">
                  <c:v>41851.041250000002</c:v>
                </c:pt>
                <c:pt idx="102">
                  <c:v>41880.041250000002</c:v>
                </c:pt>
                <c:pt idx="103">
                  <c:v>41912.041250000002</c:v>
                </c:pt>
                <c:pt idx="104">
                  <c:v>41943.041250000002</c:v>
                </c:pt>
                <c:pt idx="105">
                  <c:v>41971.041250000002</c:v>
                </c:pt>
                <c:pt idx="106">
                  <c:v>42004.041250000002</c:v>
                </c:pt>
                <c:pt idx="107">
                  <c:v>42034.041250000002</c:v>
                </c:pt>
                <c:pt idx="108">
                  <c:v>42062.041250000002</c:v>
                </c:pt>
                <c:pt idx="109">
                  <c:v>42094.041250000002</c:v>
                </c:pt>
                <c:pt idx="110">
                  <c:v>42124.041250000002</c:v>
                </c:pt>
                <c:pt idx="111">
                  <c:v>42153.041250000002</c:v>
                </c:pt>
                <c:pt idx="112">
                  <c:v>42185.041250000002</c:v>
                </c:pt>
                <c:pt idx="113">
                  <c:v>42216.041250000002</c:v>
                </c:pt>
                <c:pt idx="114">
                  <c:v>42247.041250000002</c:v>
                </c:pt>
                <c:pt idx="115">
                  <c:v>42277.041250000002</c:v>
                </c:pt>
                <c:pt idx="116">
                  <c:v>42307.041250000002</c:v>
                </c:pt>
                <c:pt idx="117">
                  <c:v>42338.041250000002</c:v>
                </c:pt>
                <c:pt idx="118">
                  <c:v>42369.041250000002</c:v>
                </c:pt>
                <c:pt idx="119">
                  <c:v>42398.041250000002</c:v>
                </c:pt>
                <c:pt idx="120">
                  <c:v>42429.041250000002</c:v>
                </c:pt>
                <c:pt idx="121">
                  <c:v>42460.041250000002</c:v>
                </c:pt>
                <c:pt idx="122">
                  <c:v>42489.041250000002</c:v>
                </c:pt>
                <c:pt idx="123">
                  <c:v>42521.041250000002</c:v>
                </c:pt>
                <c:pt idx="124">
                  <c:v>42551.041250000002</c:v>
                </c:pt>
                <c:pt idx="125">
                  <c:v>42580.041250000002</c:v>
                </c:pt>
                <c:pt idx="126">
                  <c:v>42613.041250000002</c:v>
                </c:pt>
                <c:pt idx="127">
                  <c:v>42643.041250000002</c:v>
                </c:pt>
                <c:pt idx="128">
                  <c:v>42674.041250000002</c:v>
                </c:pt>
                <c:pt idx="129">
                  <c:v>42704.041250000002</c:v>
                </c:pt>
                <c:pt idx="130">
                  <c:v>42734.041250000002</c:v>
                </c:pt>
                <c:pt idx="131">
                  <c:v>42766.041250000002</c:v>
                </c:pt>
                <c:pt idx="132">
                  <c:v>42794.041250000002</c:v>
                </c:pt>
                <c:pt idx="133">
                  <c:v>42825.041250000002</c:v>
                </c:pt>
                <c:pt idx="134">
                  <c:v>42853.041250000002</c:v>
                </c:pt>
                <c:pt idx="135">
                  <c:v>42886.041250000002</c:v>
                </c:pt>
                <c:pt idx="136">
                  <c:v>42916.041250000002</c:v>
                </c:pt>
                <c:pt idx="137">
                  <c:v>42947.041250000002</c:v>
                </c:pt>
                <c:pt idx="138">
                  <c:v>42978.041250000002</c:v>
                </c:pt>
                <c:pt idx="139">
                  <c:v>43007.041250000002</c:v>
                </c:pt>
                <c:pt idx="140">
                  <c:v>43039.041250000002</c:v>
                </c:pt>
                <c:pt idx="141">
                  <c:v>43069.041250000002</c:v>
                </c:pt>
                <c:pt idx="142">
                  <c:v>43098.041250000002</c:v>
                </c:pt>
                <c:pt idx="143">
                  <c:v>43131.041250000002</c:v>
                </c:pt>
                <c:pt idx="144">
                  <c:v>43159.041250000002</c:v>
                </c:pt>
                <c:pt idx="145">
                  <c:v>43187.041250000002</c:v>
                </c:pt>
                <c:pt idx="146">
                  <c:v>43220.041250000002</c:v>
                </c:pt>
                <c:pt idx="147">
                  <c:v>43251.041250000002</c:v>
                </c:pt>
                <c:pt idx="148">
                  <c:v>43280.041250000002</c:v>
                </c:pt>
                <c:pt idx="149">
                  <c:v>43312.041250000002</c:v>
                </c:pt>
                <c:pt idx="150">
                  <c:v>43343.041250000002</c:v>
                </c:pt>
                <c:pt idx="151">
                  <c:v>43371.041250000002</c:v>
                </c:pt>
                <c:pt idx="152">
                  <c:v>43404.041250000002</c:v>
                </c:pt>
                <c:pt idx="153">
                  <c:v>43434.041250000002</c:v>
                </c:pt>
                <c:pt idx="154">
                  <c:v>43465.041250000002</c:v>
                </c:pt>
                <c:pt idx="155">
                  <c:v>43496.041250000002</c:v>
                </c:pt>
                <c:pt idx="156">
                  <c:v>43524.041250000002</c:v>
                </c:pt>
                <c:pt idx="157">
                  <c:v>43553.041250000002</c:v>
                </c:pt>
                <c:pt idx="158">
                  <c:v>43585.041250000002</c:v>
                </c:pt>
                <c:pt idx="159">
                  <c:v>43616.041250000002</c:v>
                </c:pt>
                <c:pt idx="160">
                  <c:v>43644.041250000002</c:v>
                </c:pt>
                <c:pt idx="161">
                  <c:v>43677.041250000002</c:v>
                </c:pt>
                <c:pt idx="162">
                  <c:v>43707.041250000002</c:v>
                </c:pt>
                <c:pt idx="163">
                  <c:v>43738.041250000002</c:v>
                </c:pt>
                <c:pt idx="164">
                  <c:v>43769.041250000002</c:v>
                </c:pt>
                <c:pt idx="165">
                  <c:v>43798.041250000002</c:v>
                </c:pt>
                <c:pt idx="166">
                  <c:v>43830.041250000002</c:v>
                </c:pt>
                <c:pt idx="167">
                  <c:v>43861.041250000002</c:v>
                </c:pt>
                <c:pt idx="168">
                  <c:v>43889.041250000002</c:v>
                </c:pt>
                <c:pt idx="169">
                  <c:v>43921.041250000002</c:v>
                </c:pt>
                <c:pt idx="170">
                  <c:v>43951.041250000002</c:v>
                </c:pt>
                <c:pt idx="171">
                  <c:v>43980.041250000002</c:v>
                </c:pt>
                <c:pt idx="172">
                  <c:v>44012.041250000002</c:v>
                </c:pt>
                <c:pt idx="173">
                  <c:v>44043.041250000002</c:v>
                </c:pt>
                <c:pt idx="174">
                  <c:v>44074.041250000002</c:v>
                </c:pt>
                <c:pt idx="175">
                  <c:v>44104.041250000002</c:v>
                </c:pt>
                <c:pt idx="176">
                  <c:v>44134.041250000002</c:v>
                </c:pt>
                <c:pt idx="177">
                  <c:v>44165.041250000002</c:v>
                </c:pt>
                <c:pt idx="178">
                  <c:v>44196.041250000002</c:v>
                </c:pt>
                <c:pt idx="179">
                  <c:v>44225.041250000002</c:v>
                </c:pt>
                <c:pt idx="180">
                  <c:v>44253.041250000002</c:v>
                </c:pt>
                <c:pt idx="181">
                  <c:v>44286.041250000002</c:v>
                </c:pt>
                <c:pt idx="182">
                  <c:v>44316.041250000002</c:v>
                </c:pt>
                <c:pt idx="183">
                  <c:v>44347.041250000002</c:v>
                </c:pt>
                <c:pt idx="184">
                  <c:v>44377.041250000002</c:v>
                </c:pt>
                <c:pt idx="185">
                  <c:v>44407.041250000002</c:v>
                </c:pt>
                <c:pt idx="186">
                  <c:v>44439.041250000002</c:v>
                </c:pt>
                <c:pt idx="187">
                  <c:v>44469.041250000002</c:v>
                </c:pt>
                <c:pt idx="188">
                  <c:v>44498.041250000002</c:v>
                </c:pt>
                <c:pt idx="189">
                  <c:v>44530.041250000002</c:v>
                </c:pt>
                <c:pt idx="190">
                  <c:v>44561.041250000002</c:v>
                </c:pt>
                <c:pt idx="191">
                  <c:v>44592.041250000002</c:v>
                </c:pt>
                <c:pt idx="192">
                  <c:v>44620.041250000002</c:v>
                </c:pt>
                <c:pt idx="193">
                  <c:v>44651.041250000002</c:v>
                </c:pt>
                <c:pt idx="194">
                  <c:v>44680.041250000002</c:v>
                </c:pt>
                <c:pt idx="195">
                  <c:v>44712.041250000002</c:v>
                </c:pt>
                <c:pt idx="196">
                  <c:v>44742.041250000002</c:v>
                </c:pt>
                <c:pt idx="197">
                  <c:v>44771.041250000002</c:v>
                </c:pt>
                <c:pt idx="198">
                  <c:v>44804.041250000002</c:v>
                </c:pt>
                <c:pt idx="199">
                  <c:v>44834.041250000002</c:v>
                </c:pt>
                <c:pt idx="200">
                  <c:v>44865.041250000002</c:v>
                </c:pt>
                <c:pt idx="201">
                  <c:v>44895.041250000002</c:v>
                </c:pt>
                <c:pt idx="202">
                  <c:v>44925.041250000002</c:v>
                </c:pt>
                <c:pt idx="203">
                  <c:v>44957.041250000002</c:v>
                </c:pt>
                <c:pt idx="204">
                  <c:v>44985.041250000002</c:v>
                </c:pt>
                <c:pt idx="205">
                  <c:v>45016.041250000002</c:v>
                </c:pt>
                <c:pt idx="206">
                  <c:v>45044.041250000002</c:v>
                </c:pt>
                <c:pt idx="207">
                  <c:v>45077.041250000002</c:v>
                </c:pt>
                <c:pt idx="208">
                  <c:v>45107.041250000002</c:v>
                </c:pt>
                <c:pt idx="209">
                  <c:v>45138.041250000002</c:v>
                </c:pt>
                <c:pt idx="210">
                  <c:v>45169.041250000002</c:v>
                </c:pt>
                <c:pt idx="211">
                  <c:v>45198.041250000002</c:v>
                </c:pt>
                <c:pt idx="212">
                  <c:v>45230.041250000002</c:v>
                </c:pt>
                <c:pt idx="213">
                  <c:v>45260.041250000002</c:v>
                </c:pt>
                <c:pt idx="214">
                  <c:v>45289.041250000002</c:v>
                </c:pt>
                <c:pt idx="215">
                  <c:v>45322.041250000002</c:v>
                </c:pt>
                <c:pt idx="216">
                  <c:v>45351.041250000002</c:v>
                </c:pt>
                <c:pt idx="217">
                  <c:v>45378.041250000002</c:v>
                </c:pt>
                <c:pt idx="218">
                  <c:v>45412.041250000002</c:v>
                </c:pt>
                <c:pt idx="219">
                  <c:v>45443.041250000002</c:v>
                </c:pt>
                <c:pt idx="220">
                  <c:v>45471.041250000002</c:v>
                </c:pt>
                <c:pt idx="221">
                  <c:v>45504.041250000002</c:v>
                </c:pt>
                <c:pt idx="222">
                  <c:v>45534.041250000002</c:v>
                </c:pt>
                <c:pt idx="223">
                  <c:v>45565.041250000002</c:v>
                </c:pt>
                <c:pt idx="224">
                  <c:v>45596.041250000002</c:v>
                </c:pt>
                <c:pt idx="225">
                  <c:v>45625.041250000002</c:v>
                </c:pt>
                <c:pt idx="226">
                  <c:v>45657.041250000002</c:v>
                </c:pt>
                <c:pt idx="227">
                  <c:v>45688.041250000002</c:v>
                </c:pt>
                <c:pt idx="228">
                  <c:v>45716.041250000002</c:v>
                </c:pt>
                <c:pt idx="229">
                  <c:v>45747.041250000002</c:v>
                </c:pt>
                <c:pt idx="230">
                  <c:v>45777.041250000002</c:v>
                </c:pt>
                <c:pt idx="231">
                  <c:v>45807.041250000002</c:v>
                </c:pt>
                <c:pt idx="232">
                  <c:v>45838.041250000002</c:v>
                </c:pt>
                <c:pt idx="233">
                  <c:v>45869.041250000002</c:v>
                </c:pt>
                <c:pt idx="234">
                  <c:v>45898.041250000002</c:v>
                </c:pt>
                <c:pt idx="235">
                  <c:v>45930.041250000002</c:v>
                </c:pt>
                <c:pt idx="236">
                  <c:v>45961.041250000002</c:v>
                </c:pt>
                <c:pt idx="237">
                  <c:v>45989.041250000002</c:v>
                </c:pt>
                <c:pt idx="238">
                  <c:v>46022.041250000002</c:v>
                </c:pt>
                <c:pt idx="239">
                  <c:v>46052.041250000002</c:v>
                </c:pt>
                <c:pt idx="240">
                  <c:v>46080.041250000002</c:v>
                </c:pt>
                <c:pt idx="241">
                  <c:v>46112.041250000002</c:v>
                </c:pt>
                <c:pt idx="242">
                  <c:v>46142.041250000002</c:v>
                </c:pt>
                <c:pt idx="243">
                  <c:v>46171.041250000002</c:v>
                </c:pt>
                <c:pt idx="244">
                  <c:v>46203.041250000002</c:v>
                </c:pt>
                <c:pt idx="245">
                  <c:v>46209.041250000002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</c:numCache>
            </c:numRef>
          </c:cat>
          <c:val>
            <c:numRef>
              <c:f>Crecimiento!$J$2:$J$304</c:f>
              <c:numCache>
                <c:formatCode>0.0%</c:formatCode>
                <c:ptCount val="303"/>
                <c:pt idx="0">
                  <c:v>-0.22188556112341229</c:v>
                </c:pt>
                <c:pt idx="1">
                  <c:v>-0.14121297037630098</c:v>
                </c:pt>
                <c:pt idx="2">
                  <c:v>0.30991085474567392</c:v>
                </c:pt>
                <c:pt idx="3">
                  <c:v>4.5217867909016052E-2</c:v>
                </c:pt>
                <c:pt idx="4">
                  <c:v>-0.16926579396698904</c:v>
                </c:pt>
                <c:pt idx="5">
                  <c:v>-5.3646450500915654E-2</c:v>
                </c:pt>
                <c:pt idx="6">
                  <c:v>9.0193775689958899E-2</c:v>
                </c:pt>
                <c:pt idx="7">
                  <c:v>-4.3043380534951603E-2</c:v>
                </c:pt>
                <c:pt idx="8">
                  <c:v>-9.1206209784495895E-2</c:v>
                </c:pt>
                <c:pt idx="9">
                  <c:v>-1.2008072653884927E-2</c:v>
                </c:pt>
                <c:pt idx="10">
                  <c:v>-5.2218821729150822E-2</c:v>
                </c:pt>
                <c:pt idx="11">
                  <c:v>-3.6757254721326516E-2</c:v>
                </c:pt>
                <c:pt idx="12">
                  <c:v>-0.14962788875832356</c:v>
                </c:pt>
                <c:pt idx="13">
                  <c:v>-5.5214269854192977E-2</c:v>
                </c:pt>
                <c:pt idx="14">
                  <c:v>5.9353928179394666E-2</c:v>
                </c:pt>
                <c:pt idx="15">
                  <c:v>-1.024367530653425E-2</c:v>
                </c:pt>
                <c:pt idx="16">
                  <c:v>-0.10538739239100237</c:v>
                </c:pt>
                <c:pt idx="17">
                  <c:v>-2.233082196429792E-2</c:v>
                </c:pt>
                <c:pt idx="18">
                  <c:v>-0.19924995923691502</c:v>
                </c:pt>
                <c:pt idx="19">
                  <c:v>-0.28109248622670258</c:v>
                </c:pt>
                <c:pt idx="20">
                  <c:v>-2.0813406282281788E-2</c:v>
                </c:pt>
                <c:pt idx="21">
                  <c:v>0.13653954863677864</c:v>
                </c:pt>
                <c:pt idx="22">
                  <c:v>-8.0083203328133123E-2</c:v>
                </c:pt>
                <c:pt idx="23">
                  <c:v>-3.1271797256452016E-2</c:v>
                </c:pt>
                <c:pt idx="24">
                  <c:v>-0.19804841666925643</c:v>
                </c:pt>
                <c:pt idx="25">
                  <c:v>4.1223103057757671E-2</c:v>
                </c:pt>
                <c:pt idx="26">
                  <c:v>1.5075872035735571E-2</c:v>
                </c:pt>
                <c:pt idx="27">
                  <c:v>0.1270035165648713</c:v>
                </c:pt>
                <c:pt idx="28">
                  <c:v>1.1684080440399924E-2</c:v>
                </c:pt>
                <c:pt idx="29">
                  <c:v>0.57530529172320199</c:v>
                </c:pt>
                <c:pt idx="30">
                  <c:v>0.30032218471923877</c:v>
                </c:pt>
                <c:pt idx="31">
                  <c:v>0.12816962353959349</c:v>
                </c:pt>
                <c:pt idx="32">
                  <c:v>6.9282064605524774E-4</c:v>
                </c:pt>
                <c:pt idx="33">
                  <c:v>-0.31565222544894211</c:v>
                </c:pt>
                <c:pt idx="34">
                  <c:v>0.30879615265280802</c:v>
                </c:pt>
                <c:pt idx="35">
                  <c:v>-3.9630512514898797E-2</c:v>
                </c:pt>
                <c:pt idx="36">
                  <c:v>-9.4013632989134011E-2</c:v>
                </c:pt>
                <c:pt idx="37">
                  <c:v>-1.5285438957931885E-2</c:v>
                </c:pt>
                <c:pt idx="38">
                  <c:v>-0.24693458785846556</c:v>
                </c:pt>
                <c:pt idx="39">
                  <c:v>-5.1909845788849385E-2</c:v>
                </c:pt>
                <c:pt idx="40">
                  <c:v>3.0937648738695867E-3</c:v>
                </c:pt>
                <c:pt idx="41">
                  <c:v>1.4485755673587564E-2</c:v>
                </c:pt>
                <c:pt idx="42">
                  <c:v>-8.3952583156404859E-2</c:v>
                </c:pt>
                <c:pt idx="43">
                  <c:v>-7.3898082910044183E-2</c:v>
                </c:pt>
                <c:pt idx="44">
                  <c:v>-0.18980452026152461</c:v>
                </c:pt>
                <c:pt idx="45">
                  <c:v>8.0583847367666106E-2</c:v>
                </c:pt>
                <c:pt idx="46">
                  <c:v>0.1524695184955569</c:v>
                </c:pt>
                <c:pt idx="47">
                  <c:v>-5.425477856389016E-2</c:v>
                </c:pt>
                <c:pt idx="48">
                  <c:v>-1.8906273968399945E-2</c:v>
                </c:pt>
                <c:pt idx="49">
                  <c:v>4.5458047615378749E-3</c:v>
                </c:pt>
                <c:pt idx="50">
                  <c:v>0.10122178856270136</c:v>
                </c:pt>
                <c:pt idx="51">
                  <c:v>-6.5122550963750303E-2</c:v>
                </c:pt>
                <c:pt idx="52">
                  <c:v>-4.6801754120671446E-2</c:v>
                </c:pt>
                <c:pt idx="53">
                  <c:v>-5.0402067777139625E-2</c:v>
                </c:pt>
                <c:pt idx="54">
                  <c:v>-9.4849715678310353E-2</c:v>
                </c:pt>
                <c:pt idx="55">
                  <c:v>-0.12038757252693855</c:v>
                </c:pt>
                <c:pt idx="56">
                  <c:v>-0.10539773453680734</c:v>
                </c:pt>
                <c:pt idx="57">
                  <c:v>-0.13118141022792906</c:v>
                </c:pt>
                <c:pt idx="58">
                  <c:v>0.11927791729865467</c:v>
                </c:pt>
                <c:pt idx="59">
                  <c:v>-4.4545281763755606E-2</c:v>
                </c:pt>
                <c:pt idx="60">
                  <c:v>-3.9434048379735187E-2</c:v>
                </c:pt>
                <c:pt idx="61">
                  <c:v>-2.2442332574844959E-2</c:v>
                </c:pt>
                <c:pt idx="62">
                  <c:v>-5.0605939539219991E-3</c:v>
                </c:pt>
                <c:pt idx="63">
                  <c:v>2.084560656183454E-2</c:v>
                </c:pt>
                <c:pt idx="64">
                  <c:v>-0.12811394930757225</c:v>
                </c:pt>
                <c:pt idx="65">
                  <c:v>-0.14132315521628502</c:v>
                </c:pt>
                <c:pt idx="66">
                  <c:v>0.15247013743621829</c:v>
                </c:pt>
                <c:pt idx="67">
                  <c:v>-4.5708102460774946E-2</c:v>
                </c:pt>
                <c:pt idx="68">
                  <c:v>-0.13676259803842616</c:v>
                </c:pt>
                <c:pt idx="69">
                  <c:v>1.5437701352434052E-2</c:v>
                </c:pt>
                <c:pt idx="70">
                  <c:v>-1.9403774916211036E-2</c:v>
                </c:pt>
                <c:pt idx="71">
                  <c:v>-2.1681492289107429E-2</c:v>
                </c:pt>
                <c:pt idx="72">
                  <c:v>2.7401234667397301E-2</c:v>
                </c:pt>
                <c:pt idx="73">
                  <c:v>1.8718904451486829E-2</c:v>
                </c:pt>
                <c:pt idx="74">
                  <c:v>0.11086587746019005</c:v>
                </c:pt>
                <c:pt idx="75">
                  <c:v>-4.567688478075449E-2</c:v>
                </c:pt>
                <c:pt idx="76">
                  <c:v>4.8283790441780328E-2</c:v>
                </c:pt>
                <c:pt idx="77">
                  <c:v>1.7339001615089167E-2</c:v>
                </c:pt>
                <c:pt idx="78">
                  <c:v>-0.15046997224325021</c:v>
                </c:pt>
                <c:pt idx="79">
                  <c:v>-2.8006438261669375E-2</c:v>
                </c:pt>
                <c:pt idx="80">
                  <c:v>9.6265457415691813E-3</c:v>
                </c:pt>
                <c:pt idx="81">
                  <c:v>-7.3740647995943487E-3</c:v>
                </c:pt>
                <c:pt idx="82">
                  <c:v>4.228847755075904E-2</c:v>
                </c:pt>
                <c:pt idx="83">
                  <c:v>5.920862943301497E-2</c:v>
                </c:pt>
                <c:pt idx="84">
                  <c:v>5.4397871832476685E-3</c:v>
                </c:pt>
                <c:pt idx="85">
                  <c:v>0.15671538749827385</c:v>
                </c:pt>
                <c:pt idx="86">
                  <c:v>4.4695845697329428E-2</c:v>
                </c:pt>
                <c:pt idx="87">
                  <c:v>0.23909713001736277</c:v>
                </c:pt>
                <c:pt idx="88">
                  <c:v>-2.4436417984805114E-2</c:v>
                </c:pt>
                <c:pt idx="89">
                  <c:v>-1.5571358509073097E-2</c:v>
                </c:pt>
                <c:pt idx="90">
                  <c:v>5.9578558993945929E-2</c:v>
                </c:pt>
                <c:pt idx="91">
                  <c:v>8.1728880157170281E-3</c:v>
                </c:pt>
                <c:pt idx="92">
                  <c:v>0.13639746375733042</c:v>
                </c:pt>
                <c:pt idx="93">
                  <c:v>3.6245295823307933E-2</c:v>
                </c:pt>
                <c:pt idx="94">
                  <c:v>3.5222736707648084E-2</c:v>
                </c:pt>
                <c:pt idx="95">
                  <c:v>-2.7031225726270147E-2</c:v>
                </c:pt>
                <c:pt idx="96">
                  <c:v>-5.671160609613124E-2</c:v>
                </c:pt>
                <c:pt idx="97">
                  <c:v>0.12041506583916206</c:v>
                </c:pt>
                <c:pt idx="98">
                  <c:v>-2.1055676996271089E-2</c:v>
                </c:pt>
                <c:pt idx="99">
                  <c:v>-4.1089978730618815E-2</c:v>
                </c:pt>
                <c:pt idx="100">
                  <c:v>-1.8129539951573737E-2</c:v>
                </c:pt>
                <c:pt idx="101">
                  <c:v>-4.2194092827004814E-3</c:v>
                </c:pt>
                <c:pt idx="102">
                  <c:v>8.021877848678205E-2</c:v>
                </c:pt>
                <c:pt idx="103">
                  <c:v>1.6345708424326588E-2</c:v>
                </c:pt>
                <c:pt idx="104">
                  <c:v>-6.0841253658695527E-3</c:v>
                </c:pt>
                <c:pt idx="105">
                  <c:v>5.3932272711517903E-2</c:v>
                </c:pt>
                <c:pt idx="106">
                  <c:v>-2.4908746789238934E-2</c:v>
                </c:pt>
                <c:pt idx="107">
                  <c:v>-6.873977086743055E-2</c:v>
                </c:pt>
                <c:pt idx="108">
                  <c:v>0.19704619094265685</c:v>
                </c:pt>
                <c:pt idx="109">
                  <c:v>2.0022289689097361E-2</c:v>
                </c:pt>
                <c:pt idx="110">
                  <c:v>-4.1371942234011305E-2</c:v>
                </c:pt>
                <c:pt idx="111">
                  <c:v>6.0519632740769769E-2</c:v>
                </c:pt>
                <c:pt idx="112">
                  <c:v>4.6530645622929967E-2</c:v>
                </c:pt>
                <c:pt idx="113">
                  <c:v>2.5794815871151844E-2</c:v>
                </c:pt>
                <c:pt idx="114">
                  <c:v>3.4674304561038038E-2</c:v>
                </c:pt>
                <c:pt idx="115">
                  <c:v>4.9316939890710509E-2</c:v>
                </c:pt>
                <c:pt idx="116">
                  <c:v>5.8721434770031777E-2</c:v>
                </c:pt>
                <c:pt idx="117">
                  <c:v>0.17040966030922022</c:v>
                </c:pt>
                <c:pt idx="118">
                  <c:v>3.0408744694458978E-2</c:v>
                </c:pt>
                <c:pt idx="119">
                  <c:v>-0.19306559069156415</c:v>
                </c:pt>
                <c:pt idx="120">
                  <c:v>-1.8827970354002632E-2</c:v>
                </c:pt>
                <c:pt idx="121">
                  <c:v>-0.19230340211935304</c:v>
                </c:pt>
                <c:pt idx="122">
                  <c:v>-8.6384944629390614E-2</c:v>
                </c:pt>
                <c:pt idx="123">
                  <c:v>-0.32407237325495952</c:v>
                </c:pt>
                <c:pt idx="124">
                  <c:v>-9.7255617278832585E-2</c:v>
                </c:pt>
                <c:pt idx="125">
                  <c:v>0.1074535729862498</c:v>
                </c:pt>
                <c:pt idx="126">
                  <c:v>-6.5332131822863015E-2</c:v>
                </c:pt>
                <c:pt idx="127">
                  <c:v>1.6776107681232055E-2</c:v>
                </c:pt>
                <c:pt idx="128">
                  <c:v>3.7597899406944579E-2</c:v>
                </c:pt>
                <c:pt idx="129">
                  <c:v>0.14432989690721643</c:v>
                </c:pt>
                <c:pt idx="130">
                  <c:v>-0.21713914912600885</c:v>
                </c:pt>
                <c:pt idx="131">
                  <c:v>3.3143383893404765E-2</c:v>
                </c:pt>
                <c:pt idx="132">
                  <c:v>-1.1780294403842539E-2</c:v>
                </c:pt>
                <c:pt idx="133">
                  <c:v>5.4261704681872747E-2</c:v>
                </c:pt>
                <c:pt idx="134">
                  <c:v>0.13009052564070922</c:v>
                </c:pt>
                <c:pt idx="135">
                  <c:v>-1.0060313041779456E-2</c:v>
                </c:pt>
                <c:pt idx="136">
                  <c:v>-6.4295016793474602E-2</c:v>
                </c:pt>
                <c:pt idx="137">
                  <c:v>-5.7821884485393715E-2</c:v>
                </c:pt>
                <c:pt idx="138">
                  <c:v>2.7016868961552865E-2</c:v>
                </c:pt>
                <c:pt idx="139">
                  <c:v>1.4853373420987692E-2</c:v>
                </c:pt>
                <c:pt idx="140">
                  <c:v>0.14004706604594053</c:v>
                </c:pt>
                <c:pt idx="141">
                  <c:v>-4.5673135603564008E-2</c:v>
                </c:pt>
                <c:pt idx="142">
                  <c:v>-5.0307175147791927E-2</c:v>
                </c:pt>
                <c:pt idx="143">
                  <c:v>4.7118512404719093E-2</c:v>
                </c:pt>
                <c:pt idx="144">
                  <c:v>0.12165768120677445</c:v>
                </c:pt>
                <c:pt idx="145">
                  <c:v>-6.4401080144698697E-2</c:v>
                </c:pt>
                <c:pt idx="146">
                  <c:v>0.16522203752077891</c:v>
                </c:pt>
                <c:pt idx="147">
                  <c:v>-5.381417818222678E-2</c:v>
                </c:pt>
                <c:pt idx="148">
                  <c:v>0.12667320654409675</c:v>
                </c:pt>
                <c:pt idx="149">
                  <c:v>-2.366607964902534E-2</c:v>
                </c:pt>
                <c:pt idx="150">
                  <c:v>4.0326333095512812E-3</c:v>
                </c:pt>
                <c:pt idx="151">
                  <c:v>0.12598672720922099</c:v>
                </c:pt>
                <c:pt idx="152">
                  <c:v>0.23469035708124908</c:v>
                </c:pt>
                <c:pt idx="153">
                  <c:v>-3.3591731266149893E-2</c:v>
                </c:pt>
                <c:pt idx="154">
                  <c:v>-8.0865734533614342E-2</c:v>
                </c:pt>
                <c:pt idx="155">
                  <c:v>2.2122161315583311E-2</c:v>
                </c:pt>
                <c:pt idx="156">
                  <c:v>5.2848544809959597E-2</c:v>
                </c:pt>
                <c:pt idx="157">
                  <c:v>0.11495150985889602</c:v>
                </c:pt>
                <c:pt idx="158">
                  <c:v>-7.9339747389540749E-3</c:v>
                </c:pt>
                <c:pt idx="159">
                  <c:v>-0.1167539267015707</c:v>
                </c:pt>
                <c:pt idx="160">
                  <c:v>0.39974068436777732</c:v>
                </c:pt>
                <c:pt idx="161">
                  <c:v>-0.26277948632698866</c:v>
                </c:pt>
                <c:pt idx="162">
                  <c:v>-8.3945635207675062E-2</c:v>
                </c:pt>
                <c:pt idx="163">
                  <c:v>0.1378877144342403</c:v>
                </c:pt>
                <c:pt idx="164">
                  <c:v>0.11355523396044376</c:v>
                </c:pt>
                <c:pt idx="165">
                  <c:v>4.5860451036779271E-2</c:v>
                </c:pt>
                <c:pt idx="166">
                  <c:v>4.2559659522722892E-3</c:v>
                </c:pt>
                <c:pt idx="167">
                  <c:v>0.1123196573489631</c:v>
                </c:pt>
                <c:pt idx="168">
                  <c:v>0.12389156321256656</c:v>
                </c:pt>
                <c:pt idx="169">
                  <c:v>-0.15154772141014627</c:v>
                </c:pt>
                <c:pt idx="170">
                  <c:v>-0.11756058234931466</c:v>
                </c:pt>
                <c:pt idx="171">
                  <c:v>-0.10134242488813128</c:v>
                </c:pt>
                <c:pt idx="172">
                  <c:v>-0.29341443584570437</c:v>
                </c:pt>
                <c:pt idx="173">
                  <c:v>-9.0289001506642985E-2</c:v>
                </c:pt>
                <c:pt idx="174">
                  <c:v>2.1719051750678675E-2</c:v>
                </c:pt>
                <c:pt idx="175">
                  <c:v>5.7822122216958816E-2</c:v>
                </c:pt>
                <c:pt idx="176">
                  <c:v>0.13881115344414852</c:v>
                </c:pt>
                <c:pt idx="177">
                  <c:v>-0.11933606508700045</c:v>
                </c:pt>
                <c:pt idx="178">
                  <c:v>9.78973105134473E-2</c:v>
                </c:pt>
                <c:pt idx="179">
                  <c:v>6.8257008532126129E-2</c:v>
                </c:pt>
                <c:pt idx="180">
                  <c:v>8.921594659181431E-2</c:v>
                </c:pt>
                <c:pt idx="181">
                  <c:v>1.0579982366696106E-2</c:v>
                </c:pt>
                <c:pt idx="182">
                  <c:v>-0.13787633431375779</c:v>
                </c:pt>
                <c:pt idx="183">
                  <c:v>9.9687454571885326E-2</c:v>
                </c:pt>
                <c:pt idx="184">
                  <c:v>-1.9736373352333358E-2</c:v>
                </c:pt>
                <c:pt idx="185">
                  <c:v>-1.3668786675568367E-2</c:v>
                </c:pt>
                <c:pt idx="186">
                  <c:v>0.16970817920263026</c:v>
                </c:pt>
                <c:pt idx="187">
                  <c:v>-7.8374180840183327E-2</c:v>
                </c:pt>
                <c:pt idx="188">
                  <c:v>4.1842595762486834E-3</c:v>
                </c:pt>
                <c:pt idx="189">
                  <c:v>0.11602139582272031</c:v>
                </c:pt>
                <c:pt idx="190">
                  <c:v>6.5930585094348126E-2</c:v>
                </c:pt>
                <c:pt idx="191">
                  <c:v>-0.13547453250919328</c:v>
                </c:pt>
                <c:pt idx="192">
                  <c:v>1.7231087588045702E-2</c:v>
                </c:pt>
                <c:pt idx="193">
                  <c:v>0.11828579057451827</c:v>
                </c:pt>
                <c:pt idx="194">
                  <c:v>-2.9120760423417491E-2</c:v>
                </c:pt>
                <c:pt idx="195">
                  <c:v>0.24301825993555326</c:v>
                </c:pt>
                <c:pt idx="196">
                  <c:v>-9.2061634484103871E-2</c:v>
                </c:pt>
                <c:pt idx="197">
                  <c:v>0.23848058457636334</c:v>
                </c:pt>
                <c:pt idx="198">
                  <c:v>-0.15420369802839917</c:v>
                </c:pt>
                <c:pt idx="199">
                  <c:v>-0.12893753336892677</c:v>
                </c:pt>
                <c:pt idx="200">
                  <c:v>-0.13347212583853807</c:v>
                </c:pt>
                <c:pt idx="201">
                  <c:v>8.2283234582325004E-2</c:v>
                </c:pt>
                <c:pt idx="202">
                  <c:v>-0.10694589357579376</c:v>
                </c:pt>
                <c:pt idx="203">
                  <c:v>0.22589191905349248</c:v>
                </c:pt>
                <c:pt idx="204">
                  <c:v>-0.176410835214447</c:v>
                </c:pt>
                <c:pt idx="205">
                  <c:v>-3.7967353143436244E-2</c:v>
                </c:pt>
                <c:pt idx="206">
                  <c:v>2.0725580020688694E-2</c:v>
                </c:pt>
                <c:pt idx="207">
                  <c:v>0.1258162458927754</c:v>
                </c:pt>
                <c:pt idx="208">
                  <c:v>4.1765860585556425E-3</c:v>
                </c:pt>
                <c:pt idx="209">
                  <c:v>-7.1736606402388325E-3</c:v>
                </c:pt>
                <c:pt idx="210">
                  <c:v>0.17381357994645907</c:v>
                </c:pt>
                <c:pt idx="211">
                  <c:v>2.0768122422616386E-2</c:v>
                </c:pt>
                <c:pt idx="212">
                  <c:v>-0.20993130520117753</c:v>
                </c:pt>
                <c:pt idx="213">
                  <c:v>2.6224621334192788E-2</c:v>
                </c:pt>
                <c:pt idx="214">
                  <c:v>9.6757091101882242E-2</c:v>
                </c:pt>
                <c:pt idx="215">
                  <c:v>5.9743421668695618E-2</c:v>
                </c:pt>
                <c:pt idx="216">
                  <c:v>-9.1032897816742508E-2</c:v>
                </c:pt>
                <c:pt idx="217">
                  <c:v>-5.4865049676199762E-2</c:v>
                </c:pt>
                <c:pt idx="218">
                  <c:v>-7.4147177119022634E-2</c:v>
                </c:pt>
                <c:pt idx="219">
                  <c:v>0.1294216614090431</c:v>
                </c:pt>
                <c:pt idx="220">
                  <c:v>-0.12649717098978619</c:v>
                </c:pt>
                <c:pt idx="221">
                  <c:v>0.15164593382415159</c:v>
                </c:pt>
                <c:pt idx="222">
                  <c:v>-9.5660824978954562E-2</c:v>
                </c:pt>
                <c:pt idx="223">
                  <c:v>-0.16852788648149919</c:v>
                </c:pt>
                <c:pt idx="224">
                  <c:v>7.2291211790393106E-2</c:v>
                </c:pt>
                <c:pt idx="225">
                  <c:v>0.10112697220135236</c:v>
                </c:pt>
                <c:pt idx="226">
                  <c:v>-9.1932457786116251E-2</c:v>
                </c:pt>
                <c:pt idx="227">
                  <c:v>-6.7737319128637341E-2</c:v>
                </c:pt>
                <c:pt idx="228">
                  <c:v>-0.17184619436397153</c:v>
                </c:pt>
                <c:pt idx="229">
                  <c:v>-2.9123731110486051E-2</c:v>
                </c:pt>
                <c:pt idx="230">
                  <c:v>-4.5982338878860385E-2</c:v>
                </c:pt>
                <c:pt idx="231">
                  <c:v>-0.21429803545759463</c:v>
                </c:pt>
                <c:pt idx="232">
                  <c:v>4.9270990447461083E-2</c:v>
                </c:pt>
                <c:pt idx="233">
                  <c:v>-0.18279976334472792</c:v>
                </c:pt>
                <c:pt idx="234">
                  <c:v>-0.25659132559560172</c:v>
                </c:pt>
                <c:pt idx="235">
                  <c:v>6.4244756790492685E-2</c:v>
                </c:pt>
                <c:pt idx="236">
                  <c:v>-4.7749682962808793E-3</c:v>
                </c:pt>
                <c:pt idx="237">
                  <c:v>-0.18374632950968595</c:v>
                </c:pt>
                <c:pt idx="238">
                  <c:v>-6.5225118483412281E-2</c:v>
                </c:pt>
                <c:pt idx="239">
                  <c:v>-7.3918291211001907E-2</c:v>
                </c:pt>
                <c:pt idx="240">
                  <c:v>0.37286752614202689</c:v>
                </c:pt>
                <c:pt idx="241">
                  <c:v>-9.5480867491767984E-2</c:v>
                </c:pt>
                <c:pt idx="242">
                  <c:v>-0.12656696286893054</c:v>
                </c:pt>
                <c:pt idx="243">
                  <c:v>0.31930706023970279</c:v>
                </c:pt>
                <c:pt idx="244">
                  <c:v>-2.209711470795217E-2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91-4A38-A4DF-DBFDCD70B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422352"/>
        <c:axId val="1929171248"/>
      </c:lineChart>
      <c:dateAx>
        <c:axId val="224422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9171248"/>
        <c:crosses val="autoZero"/>
        <c:auto val="0"/>
        <c:lblOffset val="100"/>
        <c:baseTimeUnit val="months"/>
        <c:majorUnit val="2"/>
        <c:majorTimeUnit val="years"/>
      </c:dateAx>
      <c:valAx>
        <c:axId val="192917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Variación mensual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442235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WALMART — Tasa de crecimiento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WALMART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Crecimiento!$A$2:$A$304</c:f>
              <c:numCache>
                <c:formatCode>m/d/yyyy</c:formatCode>
                <c:ptCount val="303"/>
                <c:pt idx="0">
                  <c:v>38776.041250000002</c:v>
                </c:pt>
                <c:pt idx="1">
                  <c:v>38807.041250000002</c:v>
                </c:pt>
                <c:pt idx="2">
                  <c:v>38835.041250000002</c:v>
                </c:pt>
                <c:pt idx="3">
                  <c:v>38868.041250000002</c:v>
                </c:pt>
                <c:pt idx="4">
                  <c:v>38898.041250000002</c:v>
                </c:pt>
                <c:pt idx="5">
                  <c:v>38929.041250000002</c:v>
                </c:pt>
                <c:pt idx="6">
                  <c:v>38960.041250000002</c:v>
                </c:pt>
                <c:pt idx="7">
                  <c:v>38989.041250000002</c:v>
                </c:pt>
                <c:pt idx="8">
                  <c:v>39021.041250000002</c:v>
                </c:pt>
                <c:pt idx="9">
                  <c:v>39051.041250000002</c:v>
                </c:pt>
                <c:pt idx="10">
                  <c:v>39080.041250000002</c:v>
                </c:pt>
                <c:pt idx="11">
                  <c:v>39113.041250000002</c:v>
                </c:pt>
                <c:pt idx="12">
                  <c:v>39141.041250000002</c:v>
                </c:pt>
                <c:pt idx="13">
                  <c:v>39171.041250000002</c:v>
                </c:pt>
                <c:pt idx="14">
                  <c:v>39202.041250000002</c:v>
                </c:pt>
                <c:pt idx="15">
                  <c:v>39233.041250000002</c:v>
                </c:pt>
                <c:pt idx="16">
                  <c:v>39262.041250000002</c:v>
                </c:pt>
                <c:pt idx="17">
                  <c:v>39294.041250000002</c:v>
                </c:pt>
                <c:pt idx="18">
                  <c:v>39325.041250000002</c:v>
                </c:pt>
                <c:pt idx="19">
                  <c:v>39353.041250000002</c:v>
                </c:pt>
                <c:pt idx="20">
                  <c:v>39386.041250000002</c:v>
                </c:pt>
                <c:pt idx="21">
                  <c:v>39416.041250000002</c:v>
                </c:pt>
                <c:pt idx="22">
                  <c:v>39447.041250000002</c:v>
                </c:pt>
                <c:pt idx="23">
                  <c:v>39478.041250000002</c:v>
                </c:pt>
                <c:pt idx="24">
                  <c:v>39507.041250000002</c:v>
                </c:pt>
                <c:pt idx="25">
                  <c:v>39538.041250000002</c:v>
                </c:pt>
                <c:pt idx="26">
                  <c:v>39568.041250000002</c:v>
                </c:pt>
                <c:pt idx="27">
                  <c:v>39598.041250000002</c:v>
                </c:pt>
                <c:pt idx="28">
                  <c:v>39629.041250000002</c:v>
                </c:pt>
                <c:pt idx="29">
                  <c:v>39660.041250000002</c:v>
                </c:pt>
                <c:pt idx="30">
                  <c:v>39689.041250000002</c:v>
                </c:pt>
                <c:pt idx="31">
                  <c:v>39721.041250000002</c:v>
                </c:pt>
                <c:pt idx="32">
                  <c:v>39752.041250000002</c:v>
                </c:pt>
                <c:pt idx="33">
                  <c:v>39780.041250000002</c:v>
                </c:pt>
                <c:pt idx="34">
                  <c:v>39813.041250000002</c:v>
                </c:pt>
                <c:pt idx="35">
                  <c:v>39843.041250000002</c:v>
                </c:pt>
                <c:pt idx="36">
                  <c:v>39871.041250000002</c:v>
                </c:pt>
                <c:pt idx="37">
                  <c:v>39903.041250000002</c:v>
                </c:pt>
                <c:pt idx="38">
                  <c:v>39933.041250000002</c:v>
                </c:pt>
                <c:pt idx="39">
                  <c:v>39962.041250000002</c:v>
                </c:pt>
                <c:pt idx="40">
                  <c:v>39994.041250000002</c:v>
                </c:pt>
                <c:pt idx="41">
                  <c:v>40025.041250000002</c:v>
                </c:pt>
                <c:pt idx="42">
                  <c:v>40056.041250000002</c:v>
                </c:pt>
                <c:pt idx="43">
                  <c:v>40086.041250000002</c:v>
                </c:pt>
                <c:pt idx="44">
                  <c:v>40116.041250000002</c:v>
                </c:pt>
                <c:pt idx="45">
                  <c:v>40147.041250000002</c:v>
                </c:pt>
                <c:pt idx="46">
                  <c:v>40178.041250000002</c:v>
                </c:pt>
                <c:pt idx="47">
                  <c:v>40207.041250000002</c:v>
                </c:pt>
                <c:pt idx="48">
                  <c:v>40235.041250000002</c:v>
                </c:pt>
                <c:pt idx="49">
                  <c:v>40268.041250000002</c:v>
                </c:pt>
                <c:pt idx="50">
                  <c:v>40298.041250000002</c:v>
                </c:pt>
                <c:pt idx="51">
                  <c:v>40329.041250000002</c:v>
                </c:pt>
                <c:pt idx="52">
                  <c:v>40359.041250000002</c:v>
                </c:pt>
                <c:pt idx="53">
                  <c:v>40389.041250000002</c:v>
                </c:pt>
                <c:pt idx="54">
                  <c:v>40421.041250000002</c:v>
                </c:pt>
                <c:pt idx="55">
                  <c:v>40451.041250000002</c:v>
                </c:pt>
                <c:pt idx="56">
                  <c:v>40480.041250000002</c:v>
                </c:pt>
                <c:pt idx="57">
                  <c:v>40512.041250000002</c:v>
                </c:pt>
                <c:pt idx="58">
                  <c:v>40543.041250000002</c:v>
                </c:pt>
                <c:pt idx="59">
                  <c:v>40574.041250000002</c:v>
                </c:pt>
                <c:pt idx="60">
                  <c:v>40602.041250000002</c:v>
                </c:pt>
                <c:pt idx="61">
                  <c:v>40633.041250000002</c:v>
                </c:pt>
                <c:pt idx="62">
                  <c:v>40662.041250000002</c:v>
                </c:pt>
                <c:pt idx="63">
                  <c:v>40694.041250000002</c:v>
                </c:pt>
                <c:pt idx="64">
                  <c:v>40724.041250000002</c:v>
                </c:pt>
                <c:pt idx="65">
                  <c:v>40753.041250000002</c:v>
                </c:pt>
                <c:pt idx="66">
                  <c:v>40786.041250000002</c:v>
                </c:pt>
                <c:pt idx="67">
                  <c:v>40816.041250000002</c:v>
                </c:pt>
                <c:pt idx="68">
                  <c:v>40847.041250000002</c:v>
                </c:pt>
                <c:pt idx="69">
                  <c:v>40877.041250000002</c:v>
                </c:pt>
                <c:pt idx="70">
                  <c:v>40907.041250000002</c:v>
                </c:pt>
                <c:pt idx="71">
                  <c:v>40939.041250000002</c:v>
                </c:pt>
                <c:pt idx="72">
                  <c:v>40968.041250000002</c:v>
                </c:pt>
                <c:pt idx="73">
                  <c:v>40998.041250000002</c:v>
                </c:pt>
                <c:pt idx="74">
                  <c:v>41029.041250000002</c:v>
                </c:pt>
                <c:pt idx="75">
                  <c:v>41060.041250000002</c:v>
                </c:pt>
                <c:pt idx="76">
                  <c:v>41089.041250000002</c:v>
                </c:pt>
                <c:pt idx="77">
                  <c:v>41121.041250000002</c:v>
                </c:pt>
                <c:pt idx="78">
                  <c:v>41152.041250000002</c:v>
                </c:pt>
                <c:pt idx="79">
                  <c:v>41180.041250000002</c:v>
                </c:pt>
                <c:pt idx="80">
                  <c:v>41213.041250000002</c:v>
                </c:pt>
                <c:pt idx="81">
                  <c:v>41243.041250000002</c:v>
                </c:pt>
                <c:pt idx="82">
                  <c:v>41274.041250000002</c:v>
                </c:pt>
                <c:pt idx="83">
                  <c:v>41305.041250000002</c:v>
                </c:pt>
                <c:pt idx="84">
                  <c:v>41333.041250000002</c:v>
                </c:pt>
                <c:pt idx="85">
                  <c:v>41360.041250000002</c:v>
                </c:pt>
                <c:pt idx="86">
                  <c:v>41394.041250000002</c:v>
                </c:pt>
                <c:pt idx="87">
                  <c:v>41425.041250000002</c:v>
                </c:pt>
                <c:pt idx="88">
                  <c:v>41453.041250000002</c:v>
                </c:pt>
                <c:pt idx="89">
                  <c:v>41486.041250000002</c:v>
                </c:pt>
                <c:pt idx="90">
                  <c:v>41516.041250000002</c:v>
                </c:pt>
                <c:pt idx="91">
                  <c:v>41547.041250000002</c:v>
                </c:pt>
                <c:pt idx="92">
                  <c:v>41578.041250000002</c:v>
                </c:pt>
                <c:pt idx="93">
                  <c:v>41607.041250000002</c:v>
                </c:pt>
                <c:pt idx="94">
                  <c:v>41639.041250000002</c:v>
                </c:pt>
                <c:pt idx="95">
                  <c:v>41670.041250000002</c:v>
                </c:pt>
                <c:pt idx="96">
                  <c:v>41698.041250000002</c:v>
                </c:pt>
                <c:pt idx="97">
                  <c:v>41729.041250000002</c:v>
                </c:pt>
                <c:pt idx="98">
                  <c:v>41759.041250000002</c:v>
                </c:pt>
                <c:pt idx="99">
                  <c:v>41789.041250000002</c:v>
                </c:pt>
                <c:pt idx="100">
                  <c:v>41820.041250000002</c:v>
                </c:pt>
                <c:pt idx="101">
                  <c:v>41851.041250000002</c:v>
                </c:pt>
                <c:pt idx="102">
                  <c:v>41880.041250000002</c:v>
                </c:pt>
                <c:pt idx="103">
                  <c:v>41912.041250000002</c:v>
                </c:pt>
                <c:pt idx="104">
                  <c:v>41943.041250000002</c:v>
                </c:pt>
                <c:pt idx="105">
                  <c:v>41971.041250000002</c:v>
                </c:pt>
                <c:pt idx="106">
                  <c:v>42004.041250000002</c:v>
                </c:pt>
                <c:pt idx="107">
                  <c:v>42034.041250000002</c:v>
                </c:pt>
                <c:pt idx="108">
                  <c:v>42062.041250000002</c:v>
                </c:pt>
                <c:pt idx="109">
                  <c:v>42094.041250000002</c:v>
                </c:pt>
                <c:pt idx="110">
                  <c:v>42124.041250000002</c:v>
                </c:pt>
                <c:pt idx="111">
                  <c:v>42153.041250000002</c:v>
                </c:pt>
                <c:pt idx="112">
                  <c:v>42185.041250000002</c:v>
                </c:pt>
                <c:pt idx="113">
                  <c:v>42216.041250000002</c:v>
                </c:pt>
                <c:pt idx="114">
                  <c:v>42247.041250000002</c:v>
                </c:pt>
                <c:pt idx="115">
                  <c:v>42277.041250000002</c:v>
                </c:pt>
                <c:pt idx="116">
                  <c:v>42307.041250000002</c:v>
                </c:pt>
                <c:pt idx="117">
                  <c:v>42338.041250000002</c:v>
                </c:pt>
                <c:pt idx="118">
                  <c:v>42369.041250000002</c:v>
                </c:pt>
                <c:pt idx="119">
                  <c:v>42398.041250000002</c:v>
                </c:pt>
                <c:pt idx="120">
                  <c:v>42429.041250000002</c:v>
                </c:pt>
                <c:pt idx="121">
                  <c:v>42460.041250000002</c:v>
                </c:pt>
                <c:pt idx="122">
                  <c:v>42489.041250000002</c:v>
                </c:pt>
                <c:pt idx="123">
                  <c:v>42521.041250000002</c:v>
                </c:pt>
                <c:pt idx="124">
                  <c:v>42551.041250000002</c:v>
                </c:pt>
                <c:pt idx="125">
                  <c:v>42580.041250000002</c:v>
                </c:pt>
                <c:pt idx="126">
                  <c:v>42613.041250000002</c:v>
                </c:pt>
                <c:pt idx="127">
                  <c:v>42643.041250000002</c:v>
                </c:pt>
                <c:pt idx="128">
                  <c:v>42674.041250000002</c:v>
                </c:pt>
                <c:pt idx="129">
                  <c:v>42704.041250000002</c:v>
                </c:pt>
                <c:pt idx="130">
                  <c:v>42734.041250000002</c:v>
                </c:pt>
                <c:pt idx="131">
                  <c:v>42766.041250000002</c:v>
                </c:pt>
                <c:pt idx="132">
                  <c:v>42794.041250000002</c:v>
                </c:pt>
                <c:pt idx="133">
                  <c:v>42825.041250000002</c:v>
                </c:pt>
                <c:pt idx="134">
                  <c:v>42853.041250000002</c:v>
                </c:pt>
                <c:pt idx="135">
                  <c:v>42886.041250000002</c:v>
                </c:pt>
                <c:pt idx="136">
                  <c:v>42916.041250000002</c:v>
                </c:pt>
                <c:pt idx="137">
                  <c:v>42947.041250000002</c:v>
                </c:pt>
                <c:pt idx="138">
                  <c:v>42978.041250000002</c:v>
                </c:pt>
                <c:pt idx="139">
                  <c:v>43007.041250000002</c:v>
                </c:pt>
                <c:pt idx="140">
                  <c:v>43039.041250000002</c:v>
                </c:pt>
                <c:pt idx="141">
                  <c:v>43069.041250000002</c:v>
                </c:pt>
                <c:pt idx="142">
                  <c:v>43098.041250000002</c:v>
                </c:pt>
                <c:pt idx="143">
                  <c:v>43131.041250000002</c:v>
                </c:pt>
                <c:pt idx="144">
                  <c:v>43159.041250000002</c:v>
                </c:pt>
                <c:pt idx="145">
                  <c:v>43187.041250000002</c:v>
                </c:pt>
                <c:pt idx="146">
                  <c:v>43220.041250000002</c:v>
                </c:pt>
                <c:pt idx="147">
                  <c:v>43251.041250000002</c:v>
                </c:pt>
                <c:pt idx="148">
                  <c:v>43280.041250000002</c:v>
                </c:pt>
                <c:pt idx="149">
                  <c:v>43312.041250000002</c:v>
                </c:pt>
                <c:pt idx="150">
                  <c:v>43343.041250000002</c:v>
                </c:pt>
                <c:pt idx="151">
                  <c:v>43371.041250000002</c:v>
                </c:pt>
                <c:pt idx="152">
                  <c:v>43404.041250000002</c:v>
                </c:pt>
                <c:pt idx="153">
                  <c:v>43434.041250000002</c:v>
                </c:pt>
                <c:pt idx="154">
                  <c:v>43465.041250000002</c:v>
                </c:pt>
                <c:pt idx="155">
                  <c:v>43496.041250000002</c:v>
                </c:pt>
                <c:pt idx="156">
                  <c:v>43524.041250000002</c:v>
                </c:pt>
                <c:pt idx="157">
                  <c:v>43553.041250000002</c:v>
                </c:pt>
                <c:pt idx="158">
                  <c:v>43585.041250000002</c:v>
                </c:pt>
                <c:pt idx="159">
                  <c:v>43616.041250000002</c:v>
                </c:pt>
                <c:pt idx="160">
                  <c:v>43644.041250000002</c:v>
                </c:pt>
                <c:pt idx="161">
                  <c:v>43677.041250000002</c:v>
                </c:pt>
                <c:pt idx="162">
                  <c:v>43707.041250000002</c:v>
                </c:pt>
                <c:pt idx="163">
                  <c:v>43738.041250000002</c:v>
                </c:pt>
                <c:pt idx="164">
                  <c:v>43769.041250000002</c:v>
                </c:pt>
                <c:pt idx="165">
                  <c:v>43798.041250000002</c:v>
                </c:pt>
                <c:pt idx="166">
                  <c:v>43830.041250000002</c:v>
                </c:pt>
                <c:pt idx="167">
                  <c:v>43861.041250000002</c:v>
                </c:pt>
                <c:pt idx="168">
                  <c:v>43889.041250000002</c:v>
                </c:pt>
                <c:pt idx="169">
                  <c:v>43921.041250000002</c:v>
                </c:pt>
                <c:pt idx="170">
                  <c:v>43951.041250000002</c:v>
                </c:pt>
                <c:pt idx="171">
                  <c:v>43980.041250000002</c:v>
                </c:pt>
                <c:pt idx="172">
                  <c:v>44012.041250000002</c:v>
                </c:pt>
                <c:pt idx="173">
                  <c:v>44043.041250000002</c:v>
                </c:pt>
                <c:pt idx="174">
                  <c:v>44074.041250000002</c:v>
                </c:pt>
                <c:pt idx="175">
                  <c:v>44104.041250000002</c:v>
                </c:pt>
                <c:pt idx="176">
                  <c:v>44134.041250000002</c:v>
                </c:pt>
                <c:pt idx="177">
                  <c:v>44165.041250000002</c:v>
                </c:pt>
                <c:pt idx="178">
                  <c:v>44196.041250000002</c:v>
                </c:pt>
                <c:pt idx="179">
                  <c:v>44225.041250000002</c:v>
                </c:pt>
                <c:pt idx="180">
                  <c:v>44253.041250000002</c:v>
                </c:pt>
                <c:pt idx="181">
                  <c:v>44286.041250000002</c:v>
                </c:pt>
                <c:pt idx="182">
                  <c:v>44316.041250000002</c:v>
                </c:pt>
                <c:pt idx="183">
                  <c:v>44347.041250000002</c:v>
                </c:pt>
                <c:pt idx="184">
                  <c:v>44377.041250000002</c:v>
                </c:pt>
                <c:pt idx="185">
                  <c:v>44407.041250000002</c:v>
                </c:pt>
                <c:pt idx="186">
                  <c:v>44439.041250000002</c:v>
                </c:pt>
                <c:pt idx="187">
                  <c:v>44469.041250000002</c:v>
                </c:pt>
                <c:pt idx="188">
                  <c:v>44498.041250000002</c:v>
                </c:pt>
                <c:pt idx="189">
                  <c:v>44530.041250000002</c:v>
                </c:pt>
                <c:pt idx="190">
                  <c:v>44561.041250000002</c:v>
                </c:pt>
                <c:pt idx="191">
                  <c:v>44592.041250000002</c:v>
                </c:pt>
                <c:pt idx="192">
                  <c:v>44620.041250000002</c:v>
                </c:pt>
                <c:pt idx="193">
                  <c:v>44651.041250000002</c:v>
                </c:pt>
                <c:pt idx="194">
                  <c:v>44680.041250000002</c:v>
                </c:pt>
                <c:pt idx="195">
                  <c:v>44712.041250000002</c:v>
                </c:pt>
                <c:pt idx="196">
                  <c:v>44742.041250000002</c:v>
                </c:pt>
                <c:pt idx="197">
                  <c:v>44771.041250000002</c:v>
                </c:pt>
                <c:pt idx="198">
                  <c:v>44804.041250000002</c:v>
                </c:pt>
                <c:pt idx="199">
                  <c:v>44834.041250000002</c:v>
                </c:pt>
                <c:pt idx="200">
                  <c:v>44865.041250000002</c:v>
                </c:pt>
                <c:pt idx="201">
                  <c:v>44895.041250000002</c:v>
                </c:pt>
                <c:pt idx="202">
                  <c:v>44925.041250000002</c:v>
                </c:pt>
                <c:pt idx="203">
                  <c:v>44957.041250000002</c:v>
                </c:pt>
                <c:pt idx="204">
                  <c:v>44985.041250000002</c:v>
                </c:pt>
                <c:pt idx="205">
                  <c:v>45016.041250000002</c:v>
                </c:pt>
                <c:pt idx="206">
                  <c:v>45044.041250000002</c:v>
                </c:pt>
                <c:pt idx="207">
                  <c:v>45077.041250000002</c:v>
                </c:pt>
                <c:pt idx="208">
                  <c:v>45107.041250000002</c:v>
                </c:pt>
                <c:pt idx="209">
                  <c:v>45138.041250000002</c:v>
                </c:pt>
                <c:pt idx="210">
                  <c:v>45169.041250000002</c:v>
                </c:pt>
                <c:pt idx="211">
                  <c:v>45198.041250000002</c:v>
                </c:pt>
                <c:pt idx="212">
                  <c:v>45230.041250000002</c:v>
                </c:pt>
                <c:pt idx="213">
                  <c:v>45260.041250000002</c:v>
                </c:pt>
                <c:pt idx="214">
                  <c:v>45289.041250000002</c:v>
                </c:pt>
                <c:pt idx="215">
                  <c:v>45322.041250000002</c:v>
                </c:pt>
                <c:pt idx="216">
                  <c:v>45351.041250000002</c:v>
                </c:pt>
                <c:pt idx="217">
                  <c:v>45378.041250000002</c:v>
                </c:pt>
                <c:pt idx="218">
                  <c:v>45412.041250000002</c:v>
                </c:pt>
                <c:pt idx="219">
                  <c:v>45443.041250000002</c:v>
                </c:pt>
                <c:pt idx="220">
                  <c:v>45471.041250000002</c:v>
                </c:pt>
                <c:pt idx="221">
                  <c:v>45504.041250000002</c:v>
                </c:pt>
                <c:pt idx="222">
                  <c:v>45534.041250000002</c:v>
                </c:pt>
                <c:pt idx="223">
                  <c:v>45565.041250000002</c:v>
                </c:pt>
                <c:pt idx="224">
                  <c:v>45596.041250000002</c:v>
                </c:pt>
                <c:pt idx="225">
                  <c:v>45625.041250000002</c:v>
                </c:pt>
                <c:pt idx="226">
                  <c:v>45657.041250000002</c:v>
                </c:pt>
                <c:pt idx="227">
                  <c:v>45688.041250000002</c:v>
                </c:pt>
                <c:pt idx="228">
                  <c:v>45716.041250000002</c:v>
                </c:pt>
                <c:pt idx="229">
                  <c:v>45747.041250000002</c:v>
                </c:pt>
                <c:pt idx="230">
                  <c:v>45777.041250000002</c:v>
                </c:pt>
                <c:pt idx="231">
                  <c:v>45807.041250000002</c:v>
                </c:pt>
                <c:pt idx="232">
                  <c:v>45838.041250000002</c:v>
                </c:pt>
                <c:pt idx="233">
                  <c:v>45869.041250000002</c:v>
                </c:pt>
                <c:pt idx="234">
                  <c:v>45898.041250000002</c:v>
                </c:pt>
                <c:pt idx="235">
                  <c:v>45930.041250000002</c:v>
                </c:pt>
                <c:pt idx="236">
                  <c:v>45961.041250000002</c:v>
                </c:pt>
                <c:pt idx="237">
                  <c:v>45989.041250000002</c:v>
                </c:pt>
                <c:pt idx="238">
                  <c:v>46022.041250000002</c:v>
                </c:pt>
                <c:pt idx="239">
                  <c:v>46052.041250000002</c:v>
                </c:pt>
                <c:pt idx="240">
                  <c:v>46080.041250000002</c:v>
                </c:pt>
                <c:pt idx="241">
                  <c:v>46112.041250000002</c:v>
                </c:pt>
                <c:pt idx="242">
                  <c:v>46142.041250000002</c:v>
                </c:pt>
                <c:pt idx="243">
                  <c:v>46171.041250000002</c:v>
                </c:pt>
                <c:pt idx="244">
                  <c:v>46203.041250000002</c:v>
                </c:pt>
                <c:pt idx="245">
                  <c:v>46209.041250000002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</c:numCache>
            </c:numRef>
          </c:cat>
          <c:val>
            <c:numRef>
              <c:f>Crecimiento!$K$2:$K$304</c:f>
              <c:numCache>
                <c:formatCode>0.0%</c:formatCode>
                <c:ptCount val="303"/>
                <c:pt idx="0">
                  <c:v>4.2420027816411743E-2</c:v>
                </c:pt>
                <c:pt idx="1">
                  <c:v>-8.8431061806656053E-2</c:v>
                </c:pt>
                <c:pt idx="2">
                  <c:v>6.4439946018893357E-2</c:v>
                </c:pt>
                <c:pt idx="3">
                  <c:v>-4.9390635022450224E-2</c:v>
                </c:pt>
                <c:pt idx="4">
                  <c:v>-8.077830188679247E-2</c:v>
                </c:pt>
                <c:pt idx="5">
                  <c:v>-9.1590787359400183E-2</c:v>
                </c:pt>
                <c:pt idx="6">
                  <c:v>-1.6042780748661833E-3</c:v>
                </c:pt>
                <c:pt idx="7">
                  <c:v>-1.6017084890550537E-3</c:v>
                </c:pt>
                <c:pt idx="8">
                  <c:v>-8.7676570871894843E-2</c:v>
                </c:pt>
                <c:pt idx="9">
                  <c:v>-0.13666947014297726</c:v>
                </c:pt>
                <c:pt idx="10">
                  <c:v>-2.5809094633346907E-2</c:v>
                </c:pt>
                <c:pt idx="11">
                  <c:v>0.13113994439295662</c:v>
                </c:pt>
                <c:pt idx="12">
                  <c:v>-8.4429359355112532E-2</c:v>
                </c:pt>
                <c:pt idx="13">
                  <c:v>9.7555296856810081E-2</c:v>
                </c:pt>
                <c:pt idx="14">
                  <c:v>5.6840551181102317E-2</c:v>
                </c:pt>
                <c:pt idx="15">
                  <c:v>-8.2967301122497394E-3</c:v>
                </c:pt>
                <c:pt idx="16">
                  <c:v>2.6553106212424682E-2</c:v>
                </c:pt>
                <c:pt idx="17">
                  <c:v>1.6811003565970539E-2</c:v>
                </c:pt>
                <c:pt idx="18">
                  <c:v>-2.2896963663514236E-2</c:v>
                </c:pt>
                <c:pt idx="19">
                  <c:v>-7.0337806571031947E-2</c:v>
                </c:pt>
                <c:pt idx="20">
                  <c:v>9.584178498985807E-2</c:v>
                </c:pt>
                <c:pt idx="21">
                  <c:v>4.6709129511677272E-2</c:v>
                </c:pt>
                <c:pt idx="22">
                  <c:v>-2.9366306027820754E-2</c:v>
                </c:pt>
                <c:pt idx="23">
                  <c:v>-2.5693730729702269E-3</c:v>
                </c:pt>
                <c:pt idx="24">
                  <c:v>-0.13626276076342658</c:v>
                </c:pt>
                <c:pt idx="25">
                  <c:v>6.1734213006597649E-2</c:v>
                </c:pt>
                <c:pt idx="26">
                  <c:v>-6.9706269180184077E-2</c:v>
                </c:pt>
                <c:pt idx="27">
                  <c:v>0.11594911937377672</c:v>
                </c:pt>
                <c:pt idx="28">
                  <c:v>1.4698677119060477E-3</c:v>
                </c:pt>
                <c:pt idx="29">
                  <c:v>8.7663202771116389E-2</c:v>
                </c:pt>
                <c:pt idx="30">
                  <c:v>-1.8617021276595702E-3</c:v>
                </c:pt>
                <c:pt idx="31">
                  <c:v>8.8592935726693689E-2</c:v>
                </c:pt>
                <c:pt idx="32">
                  <c:v>-5.9368191721132946E-2</c:v>
                </c:pt>
                <c:pt idx="33">
                  <c:v>-7.5675675675676013E-3</c:v>
                </c:pt>
                <c:pt idx="34">
                  <c:v>0.23497997329773024</c:v>
                </c:pt>
                <c:pt idx="35">
                  <c:v>5.4929577464788881E-2</c:v>
                </c:pt>
                <c:pt idx="36">
                  <c:v>-0.14121560326579985</c:v>
                </c:pt>
                <c:pt idx="37">
                  <c:v>-0.12141339001062701</c:v>
                </c:pt>
                <c:pt idx="38">
                  <c:v>-2.6887280248190204E-2</c:v>
                </c:pt>
                <c:pt idx="39">
                  <c:v>-7.1868583162217892E-3</c:v>
                </c:pt>
                <c:pt idx="40">
                  <c:v>-0.13325917686318134</c:v>
                </c:pt>
                <c:pt idx="41">
                  <c:v>-5.0084530853761522E-2</c:v>
                </c:pt>
                <c:pt idx="42">
                  <c:v>8.0954409884959055E-3</c:v>
                </c:pt>
                <c:pt idx="43">
                  <c:v>-1.7014036580179637E-3</c:v>
                </c:pt>
                <c:pt idx="44">
                  <c:v>-0.11249528123820296</c:v>
                </c:pt>
                <c:pt idx="45">
                  <c:v>-9.7444633730834895E-2</c:v>
                </c:pt>
                <c:pt idx="46">
                  <c:v>1.2068965517241459E-2</c:v>
                </c:pt>
                <c:pt idx="47">
                  <c:v>-8.9195979899497457E-2</c:v>
                </c:pt>
                <c:pt idx="48">
                  <c:v>8.8719898605831293E-3</c:v>
                </c:pt>
                <c:pt idx="49">
                  <c:v>0.10118632240055825</c:v>
                </c:pt>
                <c:pt idx="50">
                  <c:v>-3.82342718109141E-3</c:v>
                </c:pt>
                <c:pt idx="51">
                  <c:v>4.5391061452513259E-3</c:v>
                </c:pt>
                <c:pt idx="52">
                  <c:v>-2.5850340136054362E-2</c:v>
                </c:pt>
                <c:pt idx="53">
                  <c:v>-3.7275499830566883E-3</c:v>
                </c:pt>
                <c:pt idx="54">
                  <c:v>-6.5547815072830806E-2</c:v>
                </c:pt>
                <c:pt idx="55">
                  <c:v>-6.5127294256956847E-2</c:v>
                </c:pt>
                <c:pt idx="56">
                  <c:v>-3.8154897494305118E-2</c:v>
                </c:pt>
                <c:pt idx="57">
                  <c:v>-9.0293453724604733E-3</c:v>
                </c:pt>
                <c:pt idx="58">
                  <c:v>5.1632047477744747E-2</c:v>
                </c:pt>
                <c:pt idx="59">
                  <c:v>-2.657423454650476E-2</c:v>
                </c:pt>
                <c:pt idx="60">
                  <c:v>-2.8346898680887023E-2</c:v>
                </c:pt>
                <c:pt idx="61">
                  <c:v>-1.1924570160843029E-2</c:v>
                </c:pt>
                <c:pt idx="62">
                  <c:v>2.4431818181818166E-2</c:v>
                </c:pt>
                <c:pt idx="63">
                  <c:v>1.4701643124819919E-2</c:v>
                </c:pt>
                <c:pt idx="64">
                  <c:v>7.1340333539221534E-2</c:v>
                </c:pt>
                <c:pt idx="65">
                  <c:v>-1.1901129081477002E-2</c:v>
                </c:pt>
                <c:pt idx="66">
                  <c:v>2.5344180225281621E-2</c:v>
                </c:pt>
                <c:pt idx="67">
                  <c:v>-7.120023249055496E-2</c:v>
                </c:pt>
                <c:pt idx="68">
                  <c:v>-6.747967479674799E-2</c:v>
                </c:pt>
                <c:pt idx="69">
                  <c:v>-3.4789432382945296E-2</c:v>
                </c:pt>
                <c:pt idx="70">
                  <c:v>-5.0658058107772685E-2</c:v>
                </c:pt>
                <c:pt idx="71">
                  <c:v>4.9912652857500017E-3</c:v>
                </c:pt>
                <c:pt idx="72">
                  <c:v>-6.9437993497445505E-2</c:v>
                </c:pt>
                <c:pt idx="73">
                  <c:v>0.1559731543624161</c:v>
                </c:pt>
                <c:pt idx="74">
                  <c:v>7.4415921546005181E-2</c:v>
                </c:pt>
                <c:pt idx="75">
                  <c:v>-3.0209790209790199E-2</c:v>
                </c:pt>
                <c:pt idx="76">
                  <c:v>-5.0968940801699003E-2</c:v>
                </c:pt>
                <c:pt idx="77">
                  <c:v>7.0474566638249581E-2</c:v>
                </c:pt>
                <c:pt idx="78">
                  <c:v>-2.8169014084507116E-2</c:v>
                </c:pt>
                <c:pt idx="79">
                  <c:v>-6.3615205585725421E-2</c:v>
                </c:pt>
                <c:pt idx="80">
                  <c:v>-4.6832634951934904E-2</c:v>
                </c:pt>
                <c:pt idx="81">
                  <c:v>-4.1578077013938008E-2</c:v>
                </c:pt>
                <c:pt idx="82">
                  <c:v>2.6928675400291091E-2</c:v>
                </c:pt>
                <c:pt idx="83">
                  <c:v>2.7161724395713849E-2</c:v>
                </c:pt>
                <c:pt idx="84">
                  <c:v>-6.6831683168315781E-3</c:v>
                </c:pt>
                <c:pt idx="85">
                  <c:v>4.554865424430643E-2</c:v>
                </c:pt>
                <c:pt idx="86">
                  <c:v>2.4390243902439046E-2</c:v>
                </c:pt>
                <c:pt idx="87">
                  <c:v>3.3991228070175517E-2</c:v>
                </c:pt>
                <c:pt idx="88">
                  <c:v>4.3776824034334583E-2</c:v>
                </c:pt>
                <c:pt idx="89">
                  <c:v>9.082397003745335E-2</c:v>
                </c:pt>
                <c:pt idx="90">
                  <c:v>-6.9145845438698506E-2</c:v>
                </c:pt>
                <c:pt idx="91">
                  <c:v>1.4740566037735769E-2</c:v>
                </c:pt>
                <c:pt idx="92">
                  <c:v>-2.0785219399538035E-2</c:v>
                </c:pt>
                <c:pt idx="93">
                  <c:v>1.1091652072387603E-2</c:v>
                </c:pt>
                <c:pt idx="94">
                  <c:v>7.0624999999999938E-2</c:v>
                </c:pt>
                <c:pt idx="95">
                  <c:v>0.13919544321822719</c:v>
                </c:pt>
                <c:pt idx="96">
                  <c:v>-9.3285990961910925E-2</c:v>
                </c:pt>
                <c:pt idx="97">
                  <c:v>-6.3482466747279309E-2</c:v>
                </c:pt>
                <c:pt idx="98">
                  <c:v>1.0076335877862608E-2</c:v>
                </c:pt>
                <c:pt idx="99">
                  <c:v>-5.6195965417867533E-2</c:v>
                </c:pt>
                <c:pt idx="100">
                  <c:v>5.7926829268292845E-2</c:v>
                </c:pt>
                <c:pt idx="101">
                  <c:v>-7.8651685393258508E-2</c:v>
                </c:pt>
                <c:pt idx="102">
                  <c:v>5.4190109564702382E-2</c:v>
                </c:pt>
                <c:pt idx="103">
                  <c:v>8.4805653710247508E-2</c:v>
                </c:pt>
                <c:pt idx="104">
                  <c:v>4.6386554621848708E-2</c:v>
                </c:pt>
                <c:pt idx="105">
                  <c:v>-6.210592686002514E-2</c:v>
                </c:pt>
                <c:pt idx="106">
                  <c:v>9.5682210708117443E-2</c:v>
                </c:pt>
                <c:pt idx="107">
                  <c:v>-0.20880021863897247</c:v>
                </c:pt>
                <c:pt idx="108">
                  <c:v>-3.9884544738913563E-2</c:v>
                </c:pt>
                <c:pt idx="109">
                  <c:v>5.1600441501103766E-2</c:v>
                </c:pt>
                <c:pt idx="110">
                  <c:v>-4.6817464492372451E-2</c:v>
                </c:pt>
                <c:pt idx="111">
                  <c:v>-5.4930682709911638E-3</c:v>
                </c:pt>
                <c:pt idx="112">
                  <c:v>-2.3249872253449211E-2</c:v>
                </c:pt>
                <c:pt idx="113">
                  <c:v>-2.4669823075006314E-2</c:v>
                </c:pt>
                <c:pt idx="114">
                  <c:v>-3.324500120452889E-2</c:v>
                </c:pt>
                <c:pt idx="115">
                  <c:v>-4.7498852684717763E-2</c:v>
                </c:pt>
                <c:pt idx="116">
                  <c:v>-6.8368277119417176E-3</c:v>
                </c:pt>
                <c:pt idx="117">
                  <c:v>8.9675787537364382E-3</c:v>
                </c:pt>
                <c:pt idx="118">
                  <c:v>-4.5853444493198725E-2</c:v>
                </c:pt>
                <c:pt idx="119">
                  <c:v>6.7447306791569073E-2</c:v>
                </c:pt>
                <c:pt idx="120">
                  <c:v>4.1463414634146378E-2</c:v>
                </c:pt>
                <c:pt idx="121">
                  <c:v>-3.6427732079905906E-2</c:v>
                </c:pt>
                <c:pt idx="122">
                  <c:v>-6.769374416433438E-3</c:v>
                </c:pt>
                <c:pt idx="123">
                  <c:v>-2.4368025506718127E-2</c:v>
                </c:pt>
                <c:pt idx="124">
                  <c:v>2.4737456242706957E-2</c:v>
                </c:pt>
                <c:pt idx="125">
                  <c:v>-1.6309412861137407E-3</c:v>
                </c:pt>
                <c:pt idx="126">
                  <c:v>7.9849694692344375E-3</c:v>
                </c:pt>
                <c:pt idx="127">
                  <c:v>6.4766191547886987E-2</c:v>
                </c:pt>
                <c:pt idx="128">
                  <c:v>5.9337748344370889E-2</c:v>
                </c:pt>
                <c:pt idx="129">
                  <c:v>1.8893387314440124E-2</c:v>
                </c:pt>
                <c:pt idx="130">
                  <c:v>4.0650406504063596E-3</c:v>
                </c:pt>
                <c:pt idx="131">
                  <c:v>-5.2631578947368474E-2</c:v>
                </c:pt>
                <c:pt idx="132">
                  <c:v>-9.754402224281733E-2</c:v>
                </c:pt>
                <c:pt idx="133">
                  <c:v>1.5529411764705792E-2</c:v>
                </c:pt>
                <c:pt idx="134">
                  <c:v>-5.3826351509477233E-3</c:v>
                </c:pt>
                <c:pt idx="135">
                  <c:v>1.4241633040588564E-2</c:v>
                </c:pt>
                <c:pt idx="136">
                  <c:v>2.5559883154820051E-2</c:v>
                </c:pt>
                <c:pt idx="137">
                  <c:v>-5.5415037939756329E-2</c:v>
                </c:pt>
                <c:pt idx="138">
                  <c:v>4.2925659472422106E-2</c:v>
                </c:pt>
                <c:pt idx="139">
                  <c:v>-2.6610644257703098E-2</c:v>
                </c:pt>
                <c:pt idx="140">
                  <c:v>-2.4590163934426146E-2</c:v>
                </c:pt>
                <c:pt idx="141">
                  <c:v>-8.8607594936708778E-2</c:v>
                </c:pt>
                <c:pt idx="142">
                  <c:v>3.323327615780447E-2</c:v>
                </c:pt>
                <c:pt idx="143">
                  <c:v>6.0000000000000053E-2</c:v>
                </c:pt>
                <c:pt idx="144">
                  <c:v>-4.8854301772589648E-2</c:v>
                </c:pt>
                <c:pt idx="145">
                  <c:v>-0.10987107946892438</c:v>
                </c:pt>
                <c:pt idx="146">
                  <c:v>3.8154214942069498E-2</c:v>
                </c:pt>
                <c:pt idx="147">
                  <c:v>-4.3926661573720382E-2</c:v>
                </c:pt>
                <c:pt idx="148">
                  <c:v>-3.8030497887194592E-2</c:v>
                </c:pt>
                <c:pt idx="149">
                  <c:v>2.8922495274102067E-2</c:v>
                </c:pt>
                <c:pt idx="150">
                  <c:v>-7.2418025600561098E-2</c:v>
                </c:pt>
                <c:pt idx="151">
                  <c:v>9.9267540478026106E-2</c:v>
                </c:pt>
                <c:pt idx="152">
                  <c:v>3.059197457290419E-2</c:v>
                </c:pt>
                <c:pt idx="153">
                  <c:v>7.4044426655994755E-3</c:v>
                </c:pt>
                <c:pt idx="154">
                  <c:v>-4.5816733067729487E-3</c:v>
                </c:pt>
                <c:pt idx="155">
                  <c:v>7.0210631895686326E-3</c:v>
                </c:pt>
                <c:pt idx="156">
                  <c:v>-3.9869029275808932E-2</c:v>
                </c:pt>
                <c:pt idx="157">
                  <c:v>-6.8030874169807909E-2</c:v>
                </c:pt>
                <c:pt idx="158">
                  <c:v>7.2319652865666662E-3</c:v>
                </c:pt>
                <c:pt idx="159">
                  <c:v>5.553435114503813E-2</c:v>
                </c:pt>
                <c:pt idx="160">
                  <c:v>-7.3222497347011029E-2</c:v>
                </c:pt>
                <c:pt idx="161">
                  <c:v>-3.3491979552264795E-3</c:v>
                </c:pt>
                <c:pt idx="162">
                  <c:v>-2.9924760601915179E-2</c:v>
                </c:pt>
                <c:pt idx="163">
                  <c:v>1.2991512212021439E-2</c:v>
                </c:pt>
                <c:pt idx="164">
                  <c:v>5.9654919236417081E-2</c:v>
                </c:pt>
                <c:pt idx="165">
                  <c:v>6.0941828254847952E-3</c:v>
                </c:pt>
                <c:pt idx="166">
                  <c:v>-1.2762078395624488E-2</c:v>
                </c:pt>
                <c:pt idx="167">
                  <c:v>-6.3405797101449002E-3</c:v>
                </c:pt>
                <c:pt idx="168">
                  <c:v>-9.8654708520178325E-3</c:v>
                </c:pt>
                <c:pt idx="169">
                  <c:v>-3.829567017422808E-2</c:v>
                </c:pt>
                <c:pt idx="170">
                  <c:v>4.7335140018066824E-2</c:v>
                </c:pt>
                <c:pt idx="171">
                  <c:v>3.6264732547597323E-3</c:v>
                </c:pt>
                <c:pt idx="172">
                  <c:v>5.5906567107026683E-2</c:v>
                </c:pt>
                <c:pt idx="173">
                  <c:v>-5.7110222729869209E-3</c:v>
                </c:pt>
                <c:pt idx="174">
                  <c:v>-9.8020735155512906E-3</c:v>
                </c:pt>
                <c:pt idx="175">
                  <c:v>3.5121951219512226E-2</c:v>
                </c:pt>
                <c:pt idx="176">
                  <c:v>-3.7558685446009377E-2</c:v>
                </c:pt>
                <c:pt idx="177">
                  <c:v>-4.8767416934619501E-2</c:v>
                </c:pt>
                <c:pt idx="178">
                  <c:v>-4.061696658097691E-2</c:v>
                </c:pt>
                <c:pt idx="179">
                  <c:v>-2.2285522788203727E-2</c:v>
                </c:pt>
                <c:pt idx="180">
                  <c:v>-7.4298123158057949E-2</c:v>
                </c:pt>
                <c:pt idx="181">
                  <c:v>-2.7748454230131281E-2</c:v>
                </c:pt>
                <c:pt idx="182">
                  <c:v>1.3914373088685039E-2</c:v>
                </c:pt>
                <c:pt idx="183">
                  <c:v>5.0714615029969767E-3</c:v>
                </c:pt>
                <c:pt idx="184">
                  <c:v>-8.3815909783604425E-3</c:v>
                </c:pt>
                <c:pt idx="185">
                  <c:v>-8.1724041421774252E-2</c:v>
                </c:pt>
                <c:pt idx="186">
                  <c:v>1.8964779694852441E-2</c:v>
                </c:pt>
                <c:pt idx="187">
                  <c:v>-2.3395070324467415E-2</c:v>
                </c:pt>
                <c:pt idx="188">
                  <c:v>6.5746512318195505E-2</c:v>
                </c:pt>
                <c:pt idx="189">
                  <c:v>-0.11446970692600877</c:v>
                </c:pt>
                <c:pt idx="190">
                  <c:v>8.4830339321357418E-2</c:v>
                </c:pt>
                <c:pt idx="191">
                  <c:v>-9.961489088575104E-2</c:v>
                </c:pt>
                <c:pt idx="192">
                  <c:v>-4.9072265625E-2</c:v>
                </c:pt>
                <c:pt idx="193">
                  <c:v>0.1352549889135255</c:v>
                </c:pt>
                <c:pt idx="194">
                  <c:v>-8.3825752370482176E-3</c:v>
                </c:pt>
                <c:pt idx="195">
                  <c:v>4.9617770085100155E-2</c:v>
                </c:pt>
                <c:pt idx="196">
                  <c:v>-6.1078006500541737E-2</c:v>
                </c:pt>
                <c:pt idx="197">
                  <c:v>0.12150668286755772</c:v>
                </c:pt>
                <c:pt idx="198">
                  <c:v>-7.0450374135253346E-2</c:v>
                </c:pt>
                <c:pt idx="199">
                  <c:v>-7.4480595844766739E-2</c:v>
                </c:pt>
                <c:pt idx="200">
                  <c:v>-2.4765380604796494E-3</c:v>
                </c:pt>
                <c:pt idx="201">
                  <c:v>0.11853039801720366</c:v>
                </c:pt>
                <c:pt idx="202">
                  <c:v>-7.0092190889370909E-2</c:v>
                </c:pt>
                <c:pt idx="203">
                  <c:v>2.4302180252742778E-2</c:v>
                </c:pt>
                <c:pt idx="204">
                  <c:v>-2.7766208524215852E-4</c:v>
                </c:pt>
                <c:pt idx="205">
                  <c:v>-6.3457028555662376E-3</c:v>
                </c:pt>
                <c:pt idx="206">
                  <c:v>7.8399285926807449E-2</c:v>
                </c:pt>
                <c:pt idx="207">
                  <c:v>-7.3833431777908798E-3</c:v>
                </c:pt>
                <c:pt idx="208">
                  <c:v>-2.8546836895710692E-2</c:v>
                </c:pt>
                <c:pt idx="209">
                  <c:v>3.7814500521065941E-2</c:v>
                </c:pt>
                <c:pt idx="210">
                  <c:v>2.3932926829268508E-2</c:v>
                </c:pt>
                <c:pt idx="211">
                  <c:v>1.6581434991476796E-2</c:v>
                </c:pt>
                <c:pt idx="212">
                  <c:v>-5.2283742106036146E-2</c:v>
                </c:pt>
                <c:pt idx="213">
                  <c:v>-4.8623725024451447E-2</c:v>
                </c:pt>
                <c:pt idx="214">
                  <c:v>6.4688510757979767E-3</c:v>
                </c:pt>
                <c:pt idx="215">
                  <c:v>4.1904761904761889E-2</c:v>
                </c:pt>
                <c:pt idx="216">
                  <c:v>1.8656716417910557E-2</c:v>
                </c:pt>
                <c:pt idx="217">
                  <c:v>4.8185231539424223E-2</c:v>
                </c:pt>
                <c:pt idx="218">
                  <c:v>2.0379369807179692E-3</c:v>
                </c:pt>
                <c:pt idx="219">
                  <c:v>2.4574365563764911E-2</c:v>
                </c:pt>
                <c:pt idx="220">
                  <c:v>4.8418334409294772E-3</c:v>
                </c:pt>
                <c:pt idx="221">
                  <c:v>-1.2904253624342887E-2</c:v>
                </c:pt>
                <c:pt idx="222">
                  <c:v>6.0841642724353662E-2</c:v>
                </c:pt>
                <c:pt idx="223">
                  <c:v>7.5427117411850153E-2</c:v>
                </c:pt>
                <c:pt idx="224">
                  <c:v>2.0779220779220786E-2</c:v>
                </c:pt>
                <c:pt idx="225">
                  <c:v>-1.8036072144288595E-2</c:v>
                </c:pt>
                <c:pt idx="226">
                  <c:v>2.1779597915115412E-2</c:v>
                </c:pt>
                <c:pt idx="227">
                  <c:v>-1.2136815005516777E-2</c:v>
                </c:pt>
                <c:pt idx="228">
                  <c:v>-3.5131298793470545E-2</c:v>
                </c:pt>
                <c:pt idx="229">
                  <c:v>-9.3161705551086049E-2</c:v>
                </c:pt>
                <c:pt idx="230">
                  <c:v>-2.4332810047095865E-2</c:v>
                </c:pt>
                <c:pt idx="231">
                  <c:v>2.4939662107803739E-2</c:v>
                </c:pt>
                <c:pt idx="232">
                  <c:v>0.1176047473475994</c:v>
                </c:pt>
                <c:pt idx="233">
                  <c:v>-1.9741564967695746E-3</c:v>
                </c:pt>
                <c:pt idx="234">
                  <c:v>-1.5025631960403074E-2</c:v>
                </c:pt>
                <c:pt idx="235">
                  <c:v>-7.8964506675350044E-2</c:v>
                </c:pt>
                <c:pt idx="236">
                  <c:v>-9.1950314566865421E-3</c:v>
                </c:pt>
                <c:pt idx="237">
                  <c:v>0.104400498841974</c:v>
                </c:pt>
                <c:pt idx="238">
                  <c:v>1.2080778939776549E-2</c:v>
                </c:pt>
                <c:pt idx="239">
                  <c:v>-5.0233225690706762E-3</c:v>
                </c:pt>
                <c:pt idx="240">
                  <c:v>-4.2268041237113363E-2</c:v>
                </c:pt>
                <c:pt idx="241">
                  <c:v>5.6836753223170611E-2</c:v>
                </c:pt>
                <c:pt idx="242">
                  <c:v>5.0954198473282419E-2</c:v>
                </c:pt>
                <c:pt idx="243">
                  <c:v>2.0050613198364875E-2</c:v>
                </c:pt>
                <c:pt idx="244">
                  <c:v>4.7085201793721776E-2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B5-4389-9EAC-125811042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514224"/>
        <c:axId val="1929205808"/>
      </c:lineChart>
      <c:dateAx>
        <c:axId val="224514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9205808"/>
        <c:crosses val="autoZero"/>
        <c:auto val="0"/>
        <c:lblOffset val="100"/>
        <c:baseTimeUnit val="months"/>
        <c:majorUnit val="2"/>
        <c:majorTimeUnit val="years"/>
      </c:dateAx>
      <c:valAx>
        <c:axId val="192920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Variación mensual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4514224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IPC — Tasa de crecimiento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IPC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Crecimiento!$A$2:$A$304</c:f>
              <c:numCache>
                <c:formatCode>m/d/yyyy</c:formatCode>
                <c:ptCount val="303"/>
                <c:pt idx="0">
                  <c:v>38776.041250000002</c:v>
                </c:pt>
                <c:pt idx="1">
                  <c:v>38807.041250000002</c:v>
                </c:pt>
                <c:pt idx="2">
                  <c:v>38835.041250000002</c:v>
                </c:pt>
                <c:pt idx="3">
                  <c:v>38868.041250000002</c:v>
                </c:pt>
                <c:pt idx="4">
                  <c:v>38898.041250000002</c:v>
                </c:pt>
                <c:pt idx="5">
                  <c:v>38929.041250000002</c:v>
                </c:pt>
                <c:pt idx="6">
                  <c:v>38960.041250000002</c:v>
                </c:pt>
                <c:pt idx="7">
                  <c:v>38989.041250000002</c:v>
                </c:pt>
                <c:pt idx="8">
                  <c:v>39021.041250000002</c:v>
                </c:pt>
                <c:pt idx="9">
                  <c:v>39051.041250000002</c:v>
                </c:pt>
                <c:pt idx="10">
                  <c:v>39080.041250000002</c:v>
                </c:pt>
                <c:pt idx="11">
                  <c:v>39113.041250000002</c:v>
                </c:pt>
                <c:pt idx="12">
                  <c:v>39141.041250000002</c:v>
                </c:pt>
                <c:pt idx="13">
                  <c:v>39171.041250000002</c:v>
                </c:pt>
                <c:pt idx="14">
                  <c:v>39202.041250000002</c:v>
                </c:pt>
                <c:pt idx="15">
                  <c:v>39233.041250000002</c:v>
                </c:pt>
                <c:pt idx="16">
                  <c:v>39262.041250000002</c:v>
                </c:pt>
                <c:pt idx="17">
                  <c:v>39294.041250000002</c:v>
                </c:pt>
                <c:pt idx="18">
                  <c:v>39325.041250000002</c:v>
                </c:pt>
                <c:pt idx="19">
                  <c:v>39353.041250000002</c:v>
                </c:pt>
                <c:pt idx="20">
                  <c:v>39386.041250000002</c:v>
                </c:pt>
                <c:pt idx="21">
                  <c:v>39416.041250000002</c:v>
                </c:pt>
                <c:pt idx="22">
                  <c:v>39447.041250000002</c:v>
                </c:pt>
                <c:pt idx="23">
                  <c:v>39478.041250000002</c:v>
                </c:pt>
                <c:pt idx="24">
                  <c:v>39507.041250000002</c:v>
                </c:pt>
                <c:pt idx="25">
                  <c:v>39538.041250000002</c:v>
                </c:pt>
                <c:pt idx="26">
                  <c:v>39568.041250000002</c:v>
                </c:pt>
                <c:pt idx="27">
                  <c:v>39598.041250000002</c:v>
                </c:pt>
                <c:pt idx="28">
                  <c:v>39629.041250000002</c:v>
                </c:pt>
                <c:pt idx="29">
                  <c:v>39660.041250000002</c:v>
                </c:pt>
                <c:pt idx="30">
                  <c:v>39689.041250000002</c:v>
                </c:pt>
                <c:pt idx="31">
                  <c:v>39721.041250000002</c:v>
                </c:pt>
                <c:pt idx="32">
                  <c:v>39752.041250000002</c:v>
                </c:pt>
                <c:pt idx="33">
                  <c:v>39780.041250000002</c:v>
                </c:pt>
                <c:pt idx="34">
                  <c:v>39813.041250000002</c:v>
                </c:pt>
                <c:pt idx="35">
                  <c:v>39843.041250000002</c:v>
                </c:pt>
                <c:pt idx="36">
                  <c:v>39871.041250000002</c:v>
                </c:pt>
                <c:pt idx="37">
                  <c:v>39903.041250000002</c:v>
                </c:pt>
                <c:pt idx="38">
                  <c:v>39933.041250000002</c:v>
                </c:pt>
                <c:pt idx="39">
                  <c:v>39962.041250000002</c:v>
                </c:pt>
                <c:pt idx="40">
                  <c:v>39994.041250000002</c:v>
                </c:pt>
                <c:pt idx="41">
                  <c:v>40025.041250000002</c:v>
                </c:pt>
                <c:pt idx="42">
                  <c:v>40056.041250000002</c:v>
                </c:pt>
                <c:pt idx="43">
                  <c:v>40086.041250000002</c:v>
                </c:pt>
                <c:pt idx="44">
                  <c:v>40116.041250000002</c:v>
                </c:pt>
                <c:pt idx="45">
                  <c:v>40147.041250000002</c:v>
                </c:pt>
                <c:pt idx="46">
                  <c:v>40178.041250000002</c:v>
                </c:pt>
                <c:pt idx="47">
                  <c:v>40207.041250000002</c:v>
                </c:pt>
                <c:pt idx="48">
                  <c:v>40235.041250000002</c:v>
                </c:pt>
                <c:pt idx="49">
                  <c:v>40268.041250000002</c:v>
                </c:pt>
                <c:pt idx="50">
                  <c:v>40298.041250000002</c:v>
                </c:pt>
                <c:pt idx="51">
                  <c:v>40329.041250000002</c:v>
                </c:pt>
                <c:pt idx="52">
                  <c:v>40359.041250000002</c:v>
                </c:pt>
                <c:pt idx="53">
                  <c:v>40389.041250000002</c:v>
                </c:pt>
                <c:pt idx="54">
                  <c:v>40421.041250000002</c:v>
                </c:pt>
                <c:pt idx="55">
                  <c:v>40451.041250000002</c:v>
                </c:pt>
                <c:pt idx="56">
                  <c:v>40480.041250000002</c:v>
                </c:pt>
                <c:pt idx="57">
                  <c:v>40512.041250000002</c:v>
                </c:pt>
                <c:pt idx="58">
                  <c:v>40543.041250000002</c:v>
                </c:pt>
                <c:pt idx="59">
                  <c:v>40574.041250000002</c:v>
                </c:pt>
                <c:pt idx="60">
                  <c:v>40602.041250000002</c:v>
                </c:pt>
                <c:pt idx="61">
                  <c:v>40633.041250000002</c:v>
                </c:pt>
                <c:pt idx="62">
                  <c:v>40662.041250000002</c:v>
                </c:pt>
                <c:pt idx="63">
                  <c:v>40694.041250000002</c:v>
                </c:pt>
                <c:pt idx="64">
                  <c:v>40724.041250000002</c:v>
                </c:pt>
                <c:pt idx="65">
                  <c:v>40753.041250000002</c:v>
                </c:pt>
                <c:pt idx="66">
                  <c:v>40786.041250000002</c:v>
                </c:pt>
                <c:pt idx="67">
                  <c:v>40816.041250000002</c:v>
                </c:pt>
                <c:pt idx="68">
                  <c:v>40847.041250000002</c:v>
                </c:pt>
                <c:pt idx="69">
                  <c:v>40877.041250000002</c:v>
                </c:pt>
                <c:pt idx="70">
                  <c:v>40907.041250000002</c:v>
                </c:pt>
                <c:pt idx="71">
                  <c:v>40939.041250000002</c:v>
                </c:pt>
                <c:pt idx="72">
                  <c:v>40968.041250000002</c:v>
                </c:pt>
                <c:pt idx="73">
                  <c:v>40998.041250000002</c:v>
                </c:pt>
                <c:pt idx="74">
                  <c:v>41029.041250000002</c:v>
                </c:pt>
                <c:pt idx="75">
                  <c:v>41060.041250000002</c:v>
                </c:pt>
                <c:pt idx="76">
                  <c:v>41089.041250000002</c:v>
                </c:pt>
                <c:pt idx="77">
                  <c:v>41121.041250000002</c:v>
                </c:pt>
                <c:pt idx="78">
                  <c:v>41152.041250000002</c:v>
                </c:pt>
                <c:pt idx="79">
                  <c:v>41180.041250000002</c:v>
                </c:pt>
                <c:pt idx="80">
                  <c:v>41213.041250000002</c:v>
                </c:pt>
                <c:pt idx="81">
                  <c:v>41243.041250000002</c:v>
                </c:pt>
                <c:pt idx="82">
                  <c:v>41274.041250000002</c:v>
                </c:pt>
                <c:pt idx="83">
                  <c:v>41305.041250000002</c:v>
                </c:pt>
                <c:pt idx="84">
                  <c:v>41333.041250000002</c:v>
                </c:pt>
                <c:pt idx="85">
                  <c:v>41360.041250000002</c:v>
                </c:pt>
                <c:pt idx="86">
                  <c:v>41394.041250000002</c:v>
                </c:pt>
                <c:pt idx="87">
                  <c:v>41425.041250000002</c:v>
                </c:pt>
                <c:pt idx="88">
                  <c:v>41453.041250000002</c:v>
                </c:pt>
                <c:pt idx="89">
                  <c:v>41486.041250000002</c:v>
                </c:pt>
                <c:pt idx="90">
                  <c:v>41516.041250000002</c:v>
                </c:pt>
                <c:pt idx="91">
                  <c:v>41547.041250000002</c:v>
                </c:pt>
                <c:pt idx="92">
                  <c:v>41578.041250000002</c:v>
                </c:pt>
                <c:pt idx="93">
                  <c:v>41607.041250000002</c:v>
                </c:pt>
                <c:pt idx="94">
                  <c:v>41639.041250000002</c:v>
                </c:pt>
                <c:pt idx="95">
                  <c:v>41670.041250000002</c:v>
                </c:pt>
                <c:pt idx="96">
                  <c:v>41698.041250000002</c:v>
                </c:pt>
                <c:pt idx="97">
                  <c:v>41729.041250000002</c:v>
                </c:pt>
                <c:pt idx="98">
                  <c:v>41759.041250000002</c:v>
                </c:pt>
                <c:pt idx="99">
                  <c:v>41789.041250000002</c:v>
                </c:pt>
                <c:pt idx="100">
                  <c:v>41820.041250000002</c:v>
                </c:pt>
                <c:pt idx="101">
                  <c:v>41851.041250000002</c:v>
                </c:pt>
                <c:pt idx="102">
                  <c:v>41880.041250000002</c:v>
                </c:pt>
                <c:pt idx="103">
                  <c:v>41912.041250000002</c:v>
                </c:pt>
                <c:pt idx="104">
                  <c:v>41943.041250000002</c:v>
                </c:pt>
                <c:pt idx="105">
                  <c:v>41971.041250000002</c:v>
                </c:pt>
                <c:pt idx="106">
                  <c:v>42004.041250000002</c:v>
                </c:pt>
                <c:pt idx="107">
                  <c:v>42034.041250000002</c:v>
                </c:pt>
                <c:pt idx="108">
                  <c:v>42062.041250000002</c:v>
                </c:pt>
                <c:pt idx="109">
                  <c:v>42094.041250000002</c:v>
                </c:pt>
                <c:pt idx="110">
                  <c:v>42124.041250000002</c:v>
                </c:pt>
                <c:pt idx="111">
                  <c:v>42153.041250000002</c:v>
                </c:pt>
                <c:pt idx="112">
                  <c:v>42185.041250000002</c:v>
                </c:pt>
                <c:pt idx="113">
                  <c:v>42216.041250000002</c:v>
                </c:pt>
                <c:pt idx="114">
                  <c:v>42247.041250000002</c:v>
                </c:pt>
                <c:pt idx="115">
                  <c:v>42277.041250000002</c:v>
                </c:pt>
                <c:pt idx="116">
                  <c:v>42307.041250000002</c:v>
                </c:pt>
                <c:pt idx="117">
                  <c:v>42338.041250000002</c:v>
                </c:pt>
                <c:pt idx="118">
                  <c:v>42369.041250000002</c:v>
                </c:pt>
                <c:pt idx="119">
                  <c:v>42398.041250000002</c:v>
                </c:pt>
                <c:pt idx="120">
                  <c:v>42429.041250000002</c:v>
                </c:pt>
                <c:pt idx="121">
                  <c:v>42460.041250000002</c:v>
                </c:pt>
                <c:pt idx="122">
                  <c:v>42489.041250000002</c:v>
                </c:pt>
                <c:pt idx="123">
                  <c:v>42521.041250000002</c:v>
                </c:pt>
                <c:pt idx="124">
                  <c:v>42551.041250000002</c:v>
                </c:pt>
                <c:pt idx="125">
                  <c:v>42580.041250000002</c:v>
                </c:pt>
                <c:pt idx="126">
                  <c:v>42613.041250000002</c:v>
                </c:pt>
                <c:pt idx="127">
                  <c:v>42643.041250000002</c:v>
                </c:pt>
                <c:pt idx="128">
                  <c:v>42674.041250000002</c:v>
                </c:pt>
                <c:pt idx="129">
                  <c:v>42704.041250000002</c:v>
                </c:pt>
                <c:pt idx="130">
                  <c:v>42734.041250000002</c:v>
                </c:pt>
                <c:pt idx="131">
                  <c:v>42766.041250000002</c:v>
                </c:pt>
                <c:pt idx="132">
                  <c:v>42794.041250000002</c:v>
                </c:pt>
                <c:pt idx="133">
                  <c:v>42825.041250000002</c:v>
                </c:pt>
                <c:pt idx="134">
                  <c:v>42853.041250000002</c:v>
                </c:pt>
                <c:pt idx="135">
                  <c:v>42886.041250000002</c:v>
                </c:pt>
                <c:pt idx="136">
                  <c:v>42916.041250000002</c:v>
                </c:pt>
                <c:pt idx="137">
                  <c:v>42947.041250000002</c:v>
                </c:pt>
                <c:pt idx="138">
                  <c:v>42978.041250000002</c:v>
                </c:pt>
                <c:pt idx="139">
                  <c:v>43007.041250000002</c:v>
                </c:pt>
                <c:pt idx="140">
                  <c:v>43039.041250000002</c:v>
                </c:pt>
                <c:pt idx="141">
                  <c:v>43069.041250000002</c:v>
                </c:pt>
                <c:pt idx="142">
                  <c:v>43098.041250000002</c:v>
                </c:pt>
                <c:pt idx="143">
                  <c:v>43131.041250000002</c:v>
                </c:pt>
                <c:pt idx="144">
                  <c:v>43159.041250000002</c:v>
                </c:pt>
                <c:pt idx="145">
                  <c:v>43187.041250000002</c:v>
                </c:pt>
                <c:pt idx="146">
                  <c:v>43220.041250000002</c:v>
                </c:pt>
                <c:pt idx="147">
                  <c:v>43251.041250000002</c:v>
                </c:pt>
                <c:pt idx="148">
                  <c:v>43280.041250000002</c:v>
                </c:pt>
                <c:pt idx="149">
                  <c:v>43312.041250000002</c:v>
                </c:pt>
                <c:pt idx="150">
                  <c:v>43343.041250000002</c:v>
                </c:pt>
                <c:pt idx="151">
                  <c:v>43371.041250000002</c:v>
                </c:pt>
                <c:pt idx="152">
                  <c:v>43404.041250000002</c:v>
                </c:pt>
                <c:pt idx="153">
                  <c:v>43434.041250000002</c:v>
                </c:pt>
                <c:pt idx="154">
                  <c:v>43465.041250000002</c:v>
                </c:pt>
                <c:pt idx="155">
                  <c:v>43496.041250000002</c:v>
                </c:pt>
                <c:pt idx="156">
                  <c:v>43524.041250000002</c:v>
                </c:pt>
                <c:pt idx="157">
                  <c:v>43553.041250000002</c:v>
                </c:pt>
                <c:pt idx="158">
                  <c:v>43585.041250000002</c:v>
                </c:pt>
                <c:pt idx="159">
                  <c:v>43616.041250000002</c:v>
                </c:pt>
                <c:pt idx="160">
                  <c:v>43644.041250000002</c:v>
                </c:pt>
                <c:pt idx="161">
                  <c:v>43677.041250000002</c:v>
                </c:pt>
                <c:pt idx="162">
                  <c:v>43707.041250000002</c:v>
                </c:pt>
                <c:pt idx="163">
                  <c:v>43738.041250000002</c:v>
                </c:pt>
                <c:pt idx="164">
                  <c:v>43769.041250000002</c:v>
                </c:pt>
                <c:pt idx="165">
                  <c:v>43798.041250000002</c:v>
                </c:pt>
                <c:pt idx="166">
                  <c:v>43830.041250000002</c:v>
                </c:pt>
                <c:pt idx="167">
                  <c:v>43861.041250000002</c:v>
                </c:pt>
                <c:pt idx="168">
                  <c:v>43889.041250000002</c:v>
                </c:pt>
                <c:pt idx="169">
                  <c:v>43921.041250000002</c:v>
                </c:pt>
                <c:pt idx="170">
                  <c:v>43951.041250000002</c:v>
                </c:pt>
                <c:pt idx="171">
                  <c:v>43980.041250000002</c:v>
                </c:pt>
                <c:pt idx="172">
                  <c:v>44012.041250000002</c:v>
                </c:pt>
                <c:pt idx="173">
                  <c:v>44043.041250000002</c:v>
                </c:pt>
                <c:pt idx="174">
                  <c:v>44074.041250000002</c:v>
                </c:pt>
                <c:pt idx="175">
                  <c:v>44104.041250000002</c:v>
                </c:pt>
                <c:pt idx="176">
                  <c:v>44134.041250000002</c:v>
                </c:pt>
                <c:pt idx="177">
                  <c:v>44165.041250000002</c:v>
                </c:pt>
                <c:pt idx="178">
                  <c:v>44196.041250000002</c:v>
                </c:pt>
                <c:pt idx="179">
                  <c:v>44225.041250000002</c:v>
                </c:pt>
                <c:pt idx="180">
                  <c:v>44253.041250000002</c:v>
                </c:pt>
                <c:pt idx="181">
                  <c:v>44286.041250000002</c:v>
                </c:pt>
                <c:pt idx="182">
                  <c:v>44316.041250000002</c:v>
                </c:pt>
                <c:pt idx="183">
                  <c:v>44347.041250000002</c:v>
                </c:pt>
                <c:pt idx="184">
                  <c:v>44377.041250000002</c:v>
                </c:pt>
                <c:pt idx="185">
                  <c:v>44407.041250000002</c:v>
                </c:pt>
                <c:pt idx="186">
                  <c:v>44439.041250000002</c:v>
                </c:pt>
                <c:pt idx="187">
                  <c:v>44469.041250000002</c:v>
                </c:pt>
                <c:pt idx="188">
                  <c:v>44498.041250000002</c:v>
                </c:pt>
                <c:pt idx="189">
                  <c:v>44530.041250000002</c:v>
                </c:pt>
                <c:pt idx="190">
                  <c:v>44561.041250000002</c:v>
                </c:pt>
                <c:pt idx="191">
                  <c:v>44592.041250000002</c:v>
                </c:pt>
                <c:pt idx="192">
                  <c:v>44620.041250000002</c:v>
                </c:pt>
                <c:pt idx="193">
                  <c:v>44651.041250000002</c:v>
                </c:pt>
                <c:pt idx="194">
                  <c:v>44680.041250000002</c:v>
                </c:pt>
                <c:pt idx="195">
                  <c:v>44712.041250000002</c:v>
                </c:pt>
                <c:pt idx="196">
                  <c:v>44742.041250000002</c:v>
                </c:pt>
                <c:pt idx="197">
                  <c:v>44771.041250000002</c:v>
                </c:pt>
                <c:pt idx="198">
                  <c:v>44804.041250000002</c:v>
                </c:pt>
                <c:pt idx="199">
                  <c:v>44834.041250000002</c:v>
                </c:pt>
                <c:pt idx="200">
                  <c:v>44865.041250000002</c:v>
                </c:pt>
                <c:pt idx="201">
                  <c:v>44895.041250000002</c:v>
                </c:pt>
                <c:pt idx="202">
                  <c:v>44925.041250000002</c:v>
                </c:pt>
                <c:pt idx="203">
                  <c:v>44957.041250000002</c:v>
                </c:pt>
                <c:pt idx="204">
                  <c:v>44985.041250000002</c:v>
                </c:pt>
                <c:pt idx="205">
                  <c:v>45016.041250000002</c:v>
                </c:pt>
                <c:pt idx="206">
                  <c:v>45044.041250000002</c:v>
                </c:pt>
                <c:pt idx="207">
                  <c:v>45077.041250000002</c:v>
                </c:pt>
                <c:pt idx="208">
                  <c:v>45107.041250000002</c:v>
                </c:pt>
                <c:pt idx="209">
                  <c:v>45138.041250000002</c:v>
                </c:pt>
                <c:pt idx="210">
                  <c:v>45169.041250000002</c:v>
                </c:pt>
                <c:pt idx="211">
                  <c:v>45198.041250000002</c:v>
                </c:pt>
                <c:pt idx="212">
                  <c:v>45230.041250000002</c:v>
                </c:pt>
                <c:pt idx="213">
                  <c:v>45260.041250000002</c:v>
                </c:pt>
                <c:pt idx="214">
                  <c:v>45289.041250000002</c:v>
                </c:pt>
                <c:pt idx="215">
                  <c:v>45322.041250000002</c:v>
                </c:pt>
                <c:pt idx="216">
                  <c:v>45351.041250000002</c:v>
                </c:pt>
                <c:pt idx="217">
                  <c:v>45378.041250000002</c:v>
                </c:pt>
                <c:pt idx="218">
                  <c:v>45412.041250000002</c:v>
                </c:pt>
                <c:pt idx="219">
                  <c:v>45443.041250000002</c:v>
                </c:pt>
                <c:pt idx="220">
                  <c:v>45471.041250000002</c:v>
                </c:pt>
                <c:pt idx="221">
                  <c:v>45504.041250000002</c:v>
                </c:pt>
                <c:pt idx="222">
                  <c:v>45534.041250000002</c:v>
                </c:pt>
                <c:pt idx="223">
                  <c:v>45565.041250000002</c:v>
                </c:pt>
                <c:pt idx="224">
                  <c:v>45596.041250000002</c:v>
                </c:pt>
                <c:pt idx="225">
                  <c:v>45625.041250000002</c:v>
                </c:pt>
                <c:pt idx="226">
                  <c:v>45657.041250000002</c:v>
                </c:pt>
                <c:pt idx="227">
                  <c:v>45688.041250000002</c:v>
                </c:pt>
                <c:pt idx="228">
                  <c:v>45716.041250000002</c:v>
                </c:pt>
                <c:pt idx="229">
                  <c:v>45747.041250000002</c:v>
                </c:pt>
                <c:pt idx="230">
                  <c:v>45777.041250000002</c:v>
                </c:pt>
                <c:pt idx="231">
                  <c:v>45807.041250000002</c:v>
                </c:pt>
                <c:pt idx="232">
                  <c:v>45838.041250000002</c:v>
                </c:pt>
                <c:pt idx="233">
                  <c:v>45869.041250000002</c:v>
                </c:pt>
                <c:pt idx="234">
                  <c:v>45898.041250000002</c:v>
                </c:pt>
                <c:pt idx="235">
                  <c:v>45930.041250000002</c:v>
                </c:pt>
                <c:pt idx="236">
                  <c:v>45961.041250000002</c:v>
                </c:pt>
                <c:pt idx="237">
                  <c:v>45989.041250000002</c:v>
                </c:pt>
                <c:pt idx="238">
                  <c:v>46022.041250000002</c:v>
                </c:pt>
                <c:pt idx="239">
                  <c:v>46052.041250000002</c:v>
                </c:pt>
                <c:pt idx="240">
                  <c:v>46080.041250000002</c:v>
                </c:pt>
                <c:pt idx="241">
                  <c:v>46112.041250000002</c:v>
                </c:pt>
                <c:pt idx="242">
                  <c:v>46142.041250000002</c:v>
                </c:pt>
                <c:pt idx="243">
                  <c:v>46171.041250000002</c:v>
                </c:pt>
                <c:pt idx="244">
                  <c:v>46203.041250000002</c:v>
                </c:pt>
                <c:pt idx="245">
                  <c:v>46209.041250000002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</c:numCache>
            </c:numRef>
          </c:cat>
          <c:val>
            <c:numRef>
              <c:f>Crecimiento!$L$2:$L$304</c:f>
              <c:numCache>
                <c:formatCode>0.0%</c:formatCode>
                <c:ptCount val="303"/>
                <c:pt idx="0">
                  <c:v>2.5842122576744675E-3</c:v>
                </c:pt>
                <c:pt idx="1">
                  <c:v>4.098041404287045E-3</c:v>
                </c:pt>
                <c:pt idx="2">
                  <c:v>-2.1287550635743502E-3</c:v>
                </c:pt>
                <c:pt idx="3">
                  <c:v>-3.5624467876060883E-4</c:v>
                </c:pt>
                <c:pt idx="4">
                  <c:v>-3.7359270716619264E-3</c:v>
                </c:pt>
                <c:pt idx="5">
                  <c:v>7.8451323337567214E-3</c:v>
                </c:pt>
                <c:pt idx="6">
                  <c:v>7.7388676831655623E-3</c:v>
                </c:pt>
                <c:pt idx="7">
                  <c:v>5.8268183704022203E-3</c:v>
                </c:pt>
                <c:pt idx="8">
                  <c:v>-1.7016795131991391E-2</c:v>
                </c:pt>
                <c:pt idx="9">
                  <c:v>-9.7657793644729818E-3</c:v>
                </c:pt>
                <c:pt idx="10">
                  <c:v>-5.010928987284613E-3</c:v>
                </c:pt>
                <c:pt idx="11">
                  <c:v>4.1970409151257382E-3</c:v>
                </c:pt>
                <c:pt idx="12">
                  <c:v>-1.2750133084720283E-2</c:v>
                </c:pt>
                <c:pt idx="13">
                  <c:v>7.403491287755859E-3</c:v>
                </c:pt>
                <c:pt idx="14">
                  <c:v>-3.6205574160841358E-5</c:v>
                </c:pt>
                <c:pt idx="15">
                  <c:v>8.7497145831514356E-3</c:v>
                </c:pt>
                <c:pt idx="16">
                  <c:v>4.4096635464654366E-3</c:v>
                </c:pt>
                <c:pt idx="17">
                  <c:v>-7.3819058981209329E-3</c:v>
                </c:pt>
                <c:pt idx="18">
                  <c:v>-1.4462651718075703E-3</c:v>
                </c:pt>
                <c:pt idx="19">
                  <c:v>-1.8994910079978666E-2</c:v>
                </c:pt>
                <c:pt idx="20">
                  <c:v>3.2840789831052319E-3</c:v>
                </c:pt>
                <c:pt idx="21">
                  <c:v>-4.6740795213975339E-3</c:v>
                </c:pt>
                <c:pt idx="22">
                  <c:v>-5.6611461075184444E-3</c:v>
                </c:pt>
                <c:pt idx="23">
                  <c:v>3.3768289096665072E-3</c:v>
                </c:pt>
                <c:pt idx="24">
                  <c:v>5.3346286408479937E-3</c:v>
                </c:pt>
                <c:pt idx="25">
                  <c:v>-2.6270520538911324E-3</c:v>
                </c:pt>
                <c:pt idx="26">
                  <c:v>1.3395988156084115E-5</c:v>
                </c:pt>
                <c:pt idx="27">
                  <c:v>-2.4475370794541096E-3</c:v>
                </c:pt>
                <c:pt idx="28">
                  <c:v>4.1448681763116557E-3</c:v>
                </c:pt>
                <c:pt idx="29">
                  <c:v>-7.5429605161174695E-3</c:v>
                </c:pt>
                <c:pt idx="30">
                  <c:v>-9.4809145414009866E-3</c:v>
                </c:pt>
                <c:pt idx="31">
                  <c:v>1.880331898168297E-2</c:v>
                </c:pt>
                <c:pt idx="32">
                  <c:v>-8.7833398090727544E-3</c:v>
                </c:pt>
                <c:pt idx="33">
                  <c:v>-8.5231756673560533E-3</c:v>
                </c:pt>
                <c:pt idx="34">
                  <c:v>7.5426488900338651E-3</c:v>
                </c:pt>
                <c:pt idx="35">
                  <c:v>-2.6530500652711675E-3</c:v>
                </c:pt>
                <c:pt idx="36">
                  <c:v>-1.4776217535503844E-2</c:v>
                </c:pt>
                <c:pt idx="37">
                  <c:v>1.6145189891005884E-3</c:v>
                </c:pt>
                <c:pt idx="38">
                  <c:v>-3.6088085187279129E-3</c:v>
                </c:pt>
                <c:pt idx="39">
                  <c:v>-1.0121412644515937E-2</c:v>
                </c:pt>
                <c:pt idx="40">
                  <c:v>-2.8029788606200867E-3</c:v>
                </c:pt>
                <c:pt idx="41">
                  <c:v>-4.9060252092836265E-4</c:v>
                </c:pt>
                <c:pt idx="42">
                  <c:v>3.1466752914988128E-3</c:v>
                </c:pt>
                <c:pt idx="43">
                  <c:v>-1.7292036489552243E-2</c:v>
                </c:pt>
                <c:pt idx="44">
                  <c:v>-3.9703476373169622E-3</c:v>
                </c:pt>
                <c:pt idx="45">
                  <c:v>-4.8820790098663691E-3</c:v>
                </c:pt>
                <c:pt idx="46">
                  <c:v>8.2131395565609999E-3</c:v>
                </c:pt>
                <c:pt idx="47">
                  <c:v>4.4400475420725005E-3</c:v>
                </c:pt>
                <c:pt idx="48">
                  <c:v>2.0209010343876788E-3</c:v>
                </c:pt>
                <c:pt idx="49">
                  <c:v>-1.2964299497286391E-2</c:v>
                </c:pt>
                <c:pt idx="50">
                  <c:v>-5.8376236795119052E-3</c:v>
                </c:pt>
                <c:pt idx="51">
                  <c:v>7.4668459628128847E-3</c:v>
                </c:pt>
                <c:pt idx="52">
                  <c:v>-6.3104075146747096E-4</c:v>
                </c:pt>
                <c:pt idx="53">
                  <c:v>-5.8104360898584284E-3</c:v>
                </c:pt>
                <c:pt idx="54">
                  <c:v>-4.8402842177068806E-3</c:v>
                </c:pt>
                <c:pt idx="55">
                  <c:v>1.098668551599058E-2</c:v>
                </c:pt>
                <c:pt idx="56">
                  <c:v>-4.6703375564425276E-3</c:v>
                </c:pt>
                <c:pt idx="57">
                  <c:v>3.8054541630423433E-3</c:v>
                </c:pt>
                <c:pt idx="58">
                  <c:v>2.6161070038643652E-2</c:v>
                </c:pt>
                <c:pt idx="59">
                  <c:v>3.1294371655254949E-3</c:v>
                </c:pt>
                <c:pt idx="60">
                  <c:v>-1.1049836119232714E-2</c:v>
                </c:pt>
                <c:pt idx="61">
                  <c:v>1.1386186656983099E-3</c:v>
                </c:pt>
                <c:pt idx="62">
                  <c:v>4.1337845540567741E-3</c:v>
                </c:pt>
                <c:pt idx="63">
                  <c:v>-7.8001385077297591E-3</c:v>
                </c:pt>
                <c:pt idx="64">
                  <c:v>4.2685876253325539E-3</c:v>
                </c:pt>
                <c:pt idx="65">
                  <c:v>-1.3821414384004638E-2</c:v>
                </c:pt>
                <c:pt idx="66">
                  <c:v>-1.4501973495213316E-2</c:v>
                </c:pt>
                <c:pt idx="67">
                  <c:v>1.2967053188180699E-2</c:v>
                </c:pt>
                <c:pt idx="68">
                  <c:v>1.1604926711266117E-3</c:v>
                </c:pt>
                <c:pt idx="69">
                  <c:v>1.4785492929979549E-2</c:v>
                </c:pt>
                <c:pt idx="70">
                  <c:v>-8.7169085996311457E-3</c:v>
                </c:pt>
                <c:pt idx="71">
                  <c:v>-3.3123645500907628E-3</c:v>
                </c:pt>
                <c:pt idx="72">
                  <c:v>5.993262108168862E-3</c:v>
                </c:pt>
                <c:pt idx="73">
                  <c:v>-1.1555270358781566E-2</c:v>
                </c:pt>
                <c:pt idx="74">
                  <c:v>-1.4888668720648646E-2</c:v>
                </c:pt>
                <c:pt idx="75">
                  <c:v>-8.8017077091706586E-3</c:v>
                </c:pt>
                <c:pt idx="76">
                  <c:v>7.3619529857629207E-3</c:v>
                </c:pt>
                <c:pt idx="77">
                  <c:v>1.9225946172922725E-3</c:v>
                </c:pt>
                <c:pt idx="78">
                  <c:v>9.9090297580506359E-3</c:v>
                </c:pt>
                <c:pt idx="79">
                  <c:v>-3.8055282606119789E-3</c:v>
                </c:pt>
                <c:pt idx="80">
                  <c:v>-1.5585428297519965E-2</c:v>
                </c:pt>
                <c:pt idx="81">
                  <c:v>4.5233239385131796E-3</c:v>
                </c:pt>
                <c:pt idx="82">
                  <c:v>-4.4655269560524014E-3</c:v>
                </c:pt>
                <c:pt idx="83">
                  <c:v>4.4713781754195381E-3</c:v>
                </c:pt>
                <c:pt idx="84">
                  <c:v>-1.9080124210056448E-2</c:v>
                </c:pt>
                <c:pt idx="85">
                  <c:v>1.7892032971468241E-2</c:v>
                </c:pt>
                <c:pt idx="86">
                  <c:v>1.0574518740807948E-2</c:v>
                </c:pt>
                <c:pt idx="87">
                  <c:v>3.2218340676617441E-3</c:v>
                </c:pt>
                <c:pt idx="88">
                  <c:v>5.5526779916033053E-3</c:v>
                </c:pt>
                <c:pt idx="89">
                  <c:v>-1.548453782219017E-3</c:v>
                </c:pt>
                <c:pt idx="90">
                  <c:v>6.6218940772106993E-3</c:v>
                </c:pt>
                <c:pt idx="91">
                  <c:v>-3.3142723742400904E-3</c:v>
                </c:pt>
                <c:pt idx="92">
                  <c:v>-1.0321703627712675E-2</c:v>
                </c:pt>
                <c:pt idx="93">
                  <c:v>-1.0946042088881724E-2</c:v>
                </c:pt>
                <c:pt idx="94">
                  <c:v>-4.4514764756986569E-4</c:v>
                </c:pt>
                <c:pt idx="95">
                  <c:v>8.740454977646861E-3</c:v>
                </c:pt>
                <c:pt idx="96">
                  <c:v>-1.4183906217738018E-2</c:v>
                </c:pt>
                <c:pt idx="97">
                  <c:v>7.1835614545134874E-4</c:v>
                </c:pt>
                <c:pt idx="98">
                  <c:v>-4.2224678146924877E-3</c:v>
                </c:pt>
                <c:pt idx="99">
                  <c:v>3.5090714982590754E-3</c:v>
                </c:pt>
                <c:pt idx="100">
                  <c:v>-1.8428663290132041E-3</c:v>
                </c:pt>
                <c:pt idx="101">
                  <c:v>5.3103126756737229E-3</c:v>
                </c:pt>
                <c:pt idx="102">
                  <c:v>-2.356428960458401E-3</c:v>
                </c:pt>
                <c:pt idx="103">
                  <c:v>-2.6168541676707679E-3</c:v>
                </c:pt>
                <c:pt idx="104">
                  <c:v>4.4990373198217082E-3</c:v>
                </c:pt>
                <c:pt idx="105">
                  <c:v>-2.0130276603718911E-2</c:v>
                </c:pt>
                <c:pt idx="106">
                  <c:v>5.9992723965507366E-3</c:v>
                </c:pt>
                <c:pt idx="107">
                  <c:v>1.7322061882900863E-2</c:v>
                </c:pt>
                <c:pt idx="108">
                  <c:v>1.1239953963122717E-2</c:v>
                </c:pt>
                <c:pt idx="109">
                  <c:v>-2.0048823751329992E-2</c:v>
                </c:pt>
                <c:pt idx="110">
                  <c:v>-2.4959776876974926E-3</c:v>
                </c:pt>
                <c:pt idx="111">
                  <c:v>-1.2522723282856751E-2</c:v>
                </c:pt>
                <c:pt idx="112">
                  <c:v>-1.2458594415672208E-2</c:v>
                </c:pt>
                <c:pt idx="113">
                  <c:v>-3.2039899305658093E-4</c:v>
                </c:pt>
                <c:pt idx="114">
                  <c:v>-3.0363791029497378E-4</c:v>
                </c:pt>
                <c:pt idx="115">
                  <c:v>4.4268429178524471E-3</c:v>
                </c:pt>
                <c:pt idx="116">
                  <c:v>1.5231150857439202E-2</c:v>
                </c:pt>
                <c:pt idx="117">
                  <c:v>9.0828347093463435E-4</c:v>
                </c:pt>
                <c:pt idx="118">
                  <c:v>2.6025280665482597E-3</c:v>
                </c:pt>
                <c:pt idx="119">
                  <c:v>-1.3427980680421725E-2</c:v>
                </c:pt>
                <c:pt idx="120">
                  <c:v>-1.2099225138939573E-4</c:v>
                </c:pt>
                <c:pt idx="121">
                  <c:v>2.3205660374610027E-3</c:v>
                </c:pt>
                <c:pt idx="122">
                  <c:v>-9.9099889175201517E-3</c:v>
                </c:pt>
                <c:pt idx="123">
                  <c:v>-8.198365309365685E-3</c:v>
                </c:pt>
                <c:pt idx="124">
                  <c:v>-1.0232765771344021E-2</c:v>
                </c:pt>
                <c:pt idx="125">
                  <c:v>6.153201141418263E-3</c:v>
                </c:pt>
                <c:pt idx="126">
                  <c:v>-1.5810201546340719E-2</c:v>
                </c:pt>
                <c:pt idx="127">
                  <c:v>1.1309902535520555E-2</c:v>
                </c:pt>
                <c:pt idx="128">
                  <c:v>-7.3252904156381193E-3</c:v>
                </c:pt>
                <c:pt idx="129">
                  <c:v>-4.8424706250225213E-3</c:v>
                </c:pt>
                <c:pt idx="130">
                  <c:v>-3.1848659307642802E-3</c:v>
                </c:pt>
                <c:pt idx="131">
                  <c:v>-5.1847450085023006E-3</c:v>
                </c:pt>
                <c:pt idx="132">
                  <c:v>-4.5625893505795156E-3</c:v>
                </c:pt>
                <c:pt idx="133">
                  <c:v>2.241041019786616E-3</c:v>
                </c:pt>
                <c:pt idx="134">
                  <c:v>-7.4357782381732074E-3</c:v>
                </c:pt>
                <c:pt idx="135">
                  <c:v>-2.4915106476181004E-3</c:v>
                </c:pt>
                <c:pt idx="136">
                  <c:v>-1.5467269401425732E-2</c:v>
                </c:pt>
                <c:pt idx="137">
                  <c:v>6.724428503910751E-3</c:v>
                </c:pt>
                <c:pt idx="138">
                  <c:v>2.8010442106976008E-2</c:v>
                </c:pt>
                <c:pt idx="139">
                  <c:v>-3.0631784046942001E-2</c:v>
                </c:pt>
                <c:pt idx="140">
                  <c:v>1.4613195888663277E-2</c:v>
                </c:pt>
                <c:pt idx="141">
                  <c:v>-1.8529906306657962E-3</c:v>
                </c:pt>
                <c:pt idx="142">
                  <c:v>-2.7556855017968784E-2</c:v>
                </c:pt>
                <c:pt idx="143">
                  <c:v>-9.7872768062788884E-3</c:v>
                </c:pt>
                <c:pt idx="144">
                  <c:v>3.3378056640753773E-3</c:v>
                </c:pt>
                <c:pt idx="145">
                  <c:v>-4.605905556263612E-3</c:v>
                </c:pt>
                <c:pt idx="146">
                  <c:v>1.0062522668542906E-2</c:v>
                </c:pt>
                <c:pt idx="147">
                  <c:v>-8.2650147132760088E-3</c:v>
                </c:pt>
                <c:pt idx="148">
                  <c:v>1.7591822135791801E-3</c:v>
                </c:pt>
                <c:pt idx="149">
                  <c:v>2.7770311825039418E-3</c:v>
                </c:pt>
                <c:pt idx="150">
                  <c:v>3.8155874351448738E-3</c:v>
                </c:pt>
                <c:pt idx="151">
                  <c:v>5.5843226097573861E-4</c:v>
                </c:pt>
                <c:pt idx="152">
                  <c:v>-8.2715451802835016E-3</c:v>
                </c:pt>
                <c:pt idx="153">
                  <c:v>1.1365291671761479E-2</c:v>
                </c:pt>
                <c:pt idx="154">
                  <c:v>-4.2439929173236912E-3</c:v>
                </c:pt>
                <c:pt idx="155">
                  <c:v>-2.9451565078143505E-3</c:v>
                </c:pt>
                <c:pt idx="156">
                  <c:v>-3.4423539765261468E-3</c:v>
                </c:pt>
                <c:pt idx="157">
                  <c:v>-2.1947630066088131E-4</c:v>
                </c:pt>
                <c:pt idx="158">
                  <c:v>1.1631739688813925E-2</c:v>
                </c:pt>
                <c:pt idx="159">
                  <c:v>3.1394062966895175E-2</c:v>
                </c:pt>
                <c:pt idx="160">
                  <c:v>-2.8280975652006379E-2</c:v>
                </c:pt>
                <c:pt idx="161">
                  <c:v>2.9959442750845833E-2</c:v>
                </c:pt>
                <c:pt idx="162">
                  <c:v>1.5835187220988312E-2</c:v>
                </c:pt>
                <c:pt idx="163">
                  <c:v>6.3271764375769646E-3</c:v>
                </c:pt>
                <c:pt idx="164">
                  <c:v>-7.5323382410625861E-3</c:v>
                </c:pt>
                <c:pt idx="165">
                  <c:v>-2.3955635587555868E-3</c:v>
                </c:pt>
                <c:pt idx="166">
                  <c:v>2.2303860605481729E-2</c:v>
                </c:pt>
                <c:pt idx="167">
                  <c:v>6.6551946552804164E-3</c:v>
                </c:pt>
                <c:pt idx="168">
                  <c:v>-8.2785665779870898E-3</c:v>
                </c:pt>
                <c:pt idx="169">
                  <c:v>6.3499577879644331E-3</c:v>
                </c:pt>
                <c:pt idx="170">
                  <c:v>8.8931514537113898E-3</c:v>
                </c:pt>
                <c:pt idx="171">
                  <c:v>1.6597827796189124E-2</c:v>
                </c:pt>
                <c:pt idx="172">
                  <c:v>-3.6670389960683503E-3</c:v>
                </c:pt>
                <c:pt idx="173">
                  <c:v>-2.1348360378362852E-2</c:v>
                </c:pt>
                <c:pt idx="174">
                  <c:v>-3.5379759409356559E-2</c:v>
                </c:pt>
                <c:pt idx="175">
                  <c:v>1.6794441477322897E-2</c:v>
                </c:pt>
                <c:pt idx="176">
                  <c:v>5.6321761845041785E-3</c:v>
                </c:pt>
                <c:pt idx="177">
                  <c:v>-5.9904150489715757E-3</c:v>
                </c:pt>
                <c:pt idx="178">
                  <c:v>-2.2198836460957549E-2</c:v>
                </c:pt>
                <c:pt idx="179">
                  <c:v>-1.5656714599838306E-2</c:v>
                </c:pt>
                <c:pt idx="180">
                  <c:v>1.0369989022934067E-2</c:v>
                </c:pt>
                <c:pt idx="181">
                  <c:v>6.6747304484628955E-3</c:v>
                </c:pt>
                <c:pt idx="182">
                  <c:v>-2.4102772640742232E-2</c:v>
                </c:pt>
                <c:pt idx="183">
                  <c:v>-1.3145239998684222E-3</c:v>
                </c:pt>
                <c:pt idx="184">
                  <c:v>4.152853388053046E-3</c:v>
                </c:pt>
                <c:pt idx="185">
                  <c:v>6.1535598064121899E-3</c:v>
                </c:pt>
                <c:pt idx="186">
                  <c:v>9.4815495074560552E-3</c:v>
                </c:pt>
                <c:pt idx="187">
                  <c:v>-9.9555234833564876E-3</c:v>
                </c:pt>
                <c:pt idx="188">
                  <c:v>7.8108013160205214E-3</c:v>
                </c:pt>
                <c:pt idx="189">
                  <c:v>-1.046765841131736E-2</c:v>
                </c:pt>
                <c:pt idx="190">
                  <c:v>-3.6783013067701598E-3</c:v>
                </c:pt>
                <c:pt idx="191">
                  <c:v>1.8523034840695063E-2</c:v>
                </c:pt>
                <c:pt idx="192">
                  <c:v>-4.0312668324116174E-4</c:v>
                </c:pt>
                <c:pt idx="193">
                  <c:v>2.9981372345013746E-3</c:v>
                </c:pt>
                <c:pt idx="194">
                  <c:v>-8.6581161318746158E-3</c:v>
                </c:pt>
                <c:pt idx="195">
                  <c:v>1.8210915702614461E-2</c:v>
                </c:pt>
                <c:pt idx="196">
                  <c:v>1.0748891835660856E-2</c:v>
                </c:pt>
                <c:pt idx="197">
                  <c:v>2.5668271692222966E-3</c:v>
                </c:pt>
                <c:pt idx="198">
                  <c:v>-1.1215040210291738E-2</c:v>
                </c:pt>
                <c:pt idx="199">
                  <c:v>8.5383685423272571E-3</c:v>
                </c:pt>
                <c:pt idx="200">
                  <c:v>-1.9054641826651952E-2</c:v>
                </c:pt>
                <c:pt idx="201">
                  <c:v>-1.8103960322273793E-2</c:v>
                </c:pt>
                <c:pt idx="202">
                  <c:v>-2.3454419403535764E-3</c:v>
                </c:pt>
                <c:pt idx="203">
                  <c:v>2.3459114418431515E-3</c:v>
                </c:pt>
                <c:pt idx="204">
                  <c:v>-5.5621259394679212E-3</c:v>
                </c:pt>
                <c:pt idx="205">
                  <c:v>2.9932985985463567E-3</c:v>
                </c:pt>
                <c:pt idx="206">
                  <c:v>-2.1484876325607027E-3</c:v>
                </c:pt>
                <c:pt idx="207">
                  <c:v>1.4169139902388661E-2</c:v>
                </c:pt>
                <c:pt idx="208">
                  <c:v>1.8099660367921322E-2</c:v>
                </c:pt>
                <c:pt idx="209">
                  <c:v>-6.2671128132842924E-3</c:v>
                </c:pt>
                <c:pt idx="210">
                  <c:v>-2.1942717443850235E-3</c:v>
                </c:pt>
                <c:pt idx="211">
                  <c:v>-4.9104017804187938E-3</c:v>
                </c:pt>
                <c:pt idx="212">
                  <c:v>7.4508717109758038E-3</c:v>
                </c:pt>
                <c:pt idx="213">
                  <c:v>7.454253520533527E-4</c:v>
                </c:pt>
                <c:pt idx="214">
                  <c:v>1.0591215036916957E-3</c:v>
                </c:pt>
                <c:pt idx="215">
                  <c:v>-1.353224446702983E-2</c:v>
                </c:pt>
                <c:pt idx="216">
                  <c:v>-1.1764715070642695E-2</c:v>
                </c:pt>
                <c:pt idx="217">
                  <c:v>1.6772654077353844E-2</c:v>
                </c:pt>
                <c:pt idx="218">
                  <c:v>4.0610618328347226E-3</c:v>
                </c:pt>
                <c:pt idx="219">
                  <c:v>6.6147721691354189E-3</c:v>
                </c:pt>
                <c:pt idx="220">
                  <c:v>-1.0934726187298183E-2</c:v>
                </c:pt>
                <c:pt idx="221">
                  <c:v>8.8526111164679566E-3</c:v>
                </c:pt>
                <c:pt idx="222">
                  <c:v>1.3260184097748873E-2</c:v>
                </c:pt>
                <c:pt idx="223">
                  <c:v>1.8911075544585598E-2</c:v>
                </c:pt>
                <c:pt idx="224">
                  <c:v>7.4814098246662741E-3</c:v>
                </c:pt>
                <c:pt idx="225">
                  <c:v>3.6805993913084922E-3</c:v>
                </c:pt>
                <c:pt idx="226">
                  <c:v>9.069060451725397E-3</c:v>
                </c:pt>
                <c:pt idx="227">
                  <c:v>-4.6103427129945085E-2</c:v>
                </c:pt>
                <c:pt idx="228">
                  <c:v>-3.7100657727463515E-3</c:v>
                </c:pt>
                <c:pt idx="229">
                  <c:v>-4.0205041876306691E-3</c:v>
                </c:pt>
                <c:pt idx="230">
                  <c:v>2.609057176089058E-3</c:v>
                </c:pt>
                <c:pt idx="231">
                  <c:v>5.8034314106758522E-4</c:v>
                </c:pt>
                <c:pt idx="232">
                  <c:v>8.2673237033887848E-3</c:v>
                </c:pt>
                <c:pt idx="233">
                  <c:v>8.6421921330430695E-3</c:v>
                </c:pt>
                <c:pt idx="234">
                  <c:v>4.141248667285824E-3</c:v>
                </c:pt>
                <c:pt idx="235">
                  <c:v>8.6063851467803598E-3</c:v>
                </c:pt>
                <c:pt idx="236">
                  <c:v>-1.6883339915886308E-2</c:v>
                </c:pt>
                <c:pt idx="237">
                  <c:v>2.8294248489231233E-3</c:v>
                </c:pt>
                <c:pt idx="238">
                  <c:v>-6.1292474535676877E-3</c:v>
                </c:pt>
                <c:pt idx="239">
                  <c:v>1.0063423558399176E-2</c:v>
                </c:pt>
                <c:pt idx="240">
                  <c:v>-4.1802024857151565E-3</c:v>
                </c:pt>
                <c:pt idx="241">
                  <c:v>2.6342144873758855E-3</c:v>
                </c:pt>
                <c:pt idx="242">
                  <c:v>1.5832253318737166E-4</c:v>
                </c:pt>
                <c:pt idx="243">
                  <c:v>-6.0173417184736788E-3</c:v>
                </c:pt>
                <c:pt idx="244">
                  <c:v>1.1874936088017041E-2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F8-459A-80D9-482BC3BA7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602384"/>
        <c:axId val="1929300848"/>
      </c:lineChart>
      <c:dateAx>
        <c:axId val="224602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29300848"/>
        <c:crosses val="autoZero"/>
        <c:auto val="0"/>
        <c:lblOffset val="100"/>
        <c:baseTimeUnit val="months"/>
        <c:majorUnit val="2"/>
        <c:majorTimeUnit val="years"/>
      </c:dateAx>
      <c:valAx>
        <c:axId val="19293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Variación mensual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4602384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16</xdr:row>
      <xdr:rowOff>0</xdr:rowOff>
    </xdr:to>
    <xdr:graphicFrame macro="">
      <xdr:nvGraphicFramePr>
        <xdr:cNvPr id="2" name="Chart_BIMBOA">
          <a:extLst>
            <a:ext uri="{FF2B5EF4-FFF2-40B4-BE49-F238E27FC236}">
              <a16:creationId xmlns:a16="http://schemas.microsoft.com/office/drawing/2014/main" id="{8A2523D0-547E-7B57-815B-E77EA8B76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18</xdr:col>
      <xdr:colOff>0</xdr:colOff>
      <xdr:row>16</xdr:row>
      <xdr:rowOff>0</xdr:rowOff>
    </xdr:to>
    <xdr:graphicFrame macro="">
      <xdr:nvGraphicFramePr>
        <xdr:cNvPr id="3" name="Chart_CEMEX">
          <a:extLst>
            <a:ext uri="{FF2B5EF4-FFF2-40B4-BE49-F238E27FC236}">
              <a16:creationId xmlns:a16="http://schemas.microsoft.com/office/drawing/2014/main" id="{FC6EA072-BCBC-DE27-BA3C-46ECC212D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9</xdr:col>
      <xdr:colOff>0</xdr:colOff>
      <xdr:row>33</xdr:row>
      <xdr:rowOff>0</xdr:rowOff>
    </xdr:to>
    <xdr:graphicFrame macro="">
      <xdr:nvGraphicFramePr>
        <xdr:cNvPr id="4" name="Chart_FEMSA">
          <a:extLst>
            <a:ext uri="{FF2B5EF4-FFF2-40B4-BE49-F238E27FC236}">
              <a16:creationId xmlns:a16="http://schemas.microsoft.com/office/drawing/2014/main" id="{F34B17A0-5E3B-D1C3-8E2F-AFDCAE5D4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18</xdr:col>
      <xdr:colOff>0</xdr:colOff>
      <xdr:row>33</xdr:row>
      <xdr:rowOff>0</xdr:rowOff>
    </xdr:to>
    <xdr:graphicFrame macro="">
      <xdr:nvGraphicFramePr>
        <xdr:cNvPr id="5" name="Chart_GRUPO_AEROPORTUARIO">
          <a:extLst>
            <a:ext uri="{FF2B5EF4-FFF2-40B4-BE49-F238E27FC236}">
              <a16:creationId xmlns:a16="http://schemas.microsoft.com/office/drawing/2014/main" id="{3E1B3000-BFCE-4233-495B-67510393F5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9</xdr:col>
      <xdr:colOff>0</xdr:colOff>
      <xdr:row>50</xdr:row>
      <xdr:rowOff>0</xdr:rowOff>
    </xdr:to>
    <xdr:graphicFrame macro="">
      <xdr:nvGraphicFramePr>
        <xdr:cNvPr id="6" name="Chart_BANORTE">
          <a:extLst>
            <a:ext uri="{FF2B5EF4-FFF2-40B4-BE49-F238E27FC236}">
              <a16:creationId xmlns:a16="http://schemas.microsoft.com/office/drawing/2014/main" id="{B8A4A687-6D2A-646B-601C-31F63FCC1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34</xdr:row>
      <xdr:rowOff>0</xdr:rowOff>
    </xdr:from>
    <xdr:to>
      <xdr:col>18</xdr:col>
      <xdr:colOff>0</xdr:colOff>
      <xdr:row>50</xdr:row>
      <xdr:rowOff>0</xdr:rowOff>
    </xdr:to>
    <xdr:graphicFrame macro="">
      <xdr:nvGraphicFramePr>
        <xdr:cNvPr id="7" name="Chart_GRUMA">
          <a:extLst>
            <a:ext uri="{FF2B5EF4-FFF2-40B4-BE49-F238E27FC236}">
              <a16:creationId xmlns:a16="http://schemas.microsoft.com/office/drawing/2014/main" id="{9D401923-E71B-011A-1882-821A34DB2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9</xdr:col>
      <xdr:colOff>0</xdr:colOff>
      <xdr:row>67</xdr:row>
      <xdr:rowOff>0</xdr:rowOff>
    </xdr:to>
    <xdr:graphicFrame macro="">
      <xdr:nvGraphicFramePr>
        <xdr:cNvPr id="8" name="Chart_HERDEZ">
          <a:extLst>
            <a:ext uri="{FF2B5EF4-FFF2-40B4-BE49-F238E27FC236}">
              <a16:creationId xmlns:a16="http://schemas.microsoft.com/office/drawing/2014/main" id="{18C4ACDF-6C20-80CF-88C2-BC0AB2AC8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51</xdr:row>
      <xdr:rowOff>0</xdr:rowOff>
    </xdr:from>
    <xdr:to>
      <xdr:col>18</xdr:col>
      <xdr:colOff>0</xdr:colOff>
      <xdr:row>67</xdr:row>
      <xdr:rowOff>0</xdr:rowOff>
    </xdr:to>
    <xdr:graphicFrame macro="">
      <xdr:nvGraphicFramePr>
        <xdr:cNvPr id="9" name="Chart_KIMBERLY_CLARK">
          <a:extLst>
            <a:ext uri="{FF2B5EF4-FFF2-40B4-BE49-F238E27FC236}">
              <a16:creationId xmlns:a16="http://schemas.microsoft.com/office/drawing/2014/main" id="{064C7BCC-B2F5-32F5-9E88-3A5726BB4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68</xdr:row>
      <xdr:rowOff>0</xdr:rowOff>
    </xdr:from>
    <xdr:to>
      <xdr:col>9</xdr:col>
      <xdr:colOff>0</xdr:colOff>
      <xdr:row>84</xdr:row>
      <xdr:rowOff>0</xdr:rowOff>
    </xdr:to>
    <xdr:graphicFrame macro="">
      <xdr:nvGraphicFramePr>
        <xdr:cNvPr id="10" name="Chart_PE_OLES">
          <a:extLst>
            <a:ext uri="{FF2B5EF4-FFF2-40B4-BE49-F238E27FC236}">
              <a16:creationId xmlns:a16="http://schemas.microsoft.com/office/drawing/2014/main" id="{6F9ED678-77BD-7BA5-2419-F675785EF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68</xdr:row>
      <xdr:rowOff>0</xdr:rowOff>
    </xdr:from>
    <xdr:to>
      <xdr:col>18</xdr:col>
      <xdr:colOff>0</xdr:colOff>
      <xdr:row>84</xdr:row>
      <xdr:rowOff>0</xdr:rowOff>
    </xdr:to>
    <xdr:graphicFrame macro="">
      <xdr:nvGraphicFramePr>
        <xdr:cNvPr id="11" name="Chart_WALMART">
          <a:extLst>
            <a:ext uri="{FF2B5EF4-FFF2-40B4-BE49-F238E27FC236}">
              <a16:creationId xmlns:a16="http://schemas.microsoft.com/office/drawing/2014/main" id="{EE6BFCD3-96CA-2834-4086-2BBFFE8FB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85</xdr:row>
      <xdr:rowOff>0</xdr:rowOff>
    </xdr:from>
    <xdr:to>
      <xdr:col>9</xdr:col>
      <xdr:colOff>0</xdr:colOff>
      <xdr:row>101</xdr:row>
      <xdr:rowOff>0</xdr:rowOff>
    </xdr:to>
    <xdr:graphicFrame macro="">
      <xdr:nvGraphicFramePr>
        <xdr:cNvPr id="12" name="Chart_IPC">
          <a:extLst>
            <a:ext uri="{FF2B5EF4-FFF2-40B4-BE49-F238E27FC236}">
              <a16:creationId xmlns:a16="http://schemas.microsoft.com/office/drawing/2014/main" id="{4F54779D-5780-F23F-C499-B4DDD7620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16</xdr:row>
      <xdr:rowOff>0</xdr:rowOff>
    </xdr:to>
    <xdr:graphicFrame macro="">
      <xdr:nvGraphicFramePr>
        <xdr:cNvPr id="2" name="Growth_BIMBOA">
          <a:extLst>
            <a:ext uri="{FF2B5EF4-FFF2-40B4-BE49-F238E27FC236}">
              <a16:creationId xmlns:a16="http://schemas.microsoft.com/office/drawing/2014/main" id="{F8FA23A1-6F47-6B59-E88F-C72CE8ADB3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18</xdr:col>
      <xdr:colOff>0</xdr:colOff>
      <xdr:row>16</xdr:row>
      <xdr:rowOff>0</xdr:rowOff>
    </xdr:to>
    <xdr:graphicFrame macro="">
      <xdr:nvGraphicFramePr>
        <xdr:cNvPr id="3" name="Growth_CEMEX">
          <a:extLst>
            <a:ext uri="{FF2B5EF4-FFF2-40B4-BE49-F238E27FC236}">
              <a16:creationId xmlns:a16="http://schemas.microsoft.com/office/drawing/2014/main" id="{B68C4AD3-9885-5E8D-C1D1-3B72D3351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9</xdr:col>
      <xdr:colOff>0</xdr:colOff>
      <xdr:row>33</xdr:row>
      <xdr:rowOff>0</xdr:rowOff>
    </xdr:to>
    <xdr:graphicFrame macro="">
      <xdr:nvGraphicFramePr>
        <xdr:cNvPr id="4" name="Growth_FEMSA">
          <a:extLst>
            <a:ext uri="{FF2B5EF4-FFF2-40B4-BE49-F238E27FC236}">
              <a16:creationId xmlns:a16="http://schemas.microsoft.com/office/drawing/2014/main" id="{8EC0D48F-DDC9-94C9-B69C-A8E58F71E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18</xdr:col>
      <xdr:colOff>0</xdr:colOff>
      <xdr:row>33</xdr:row>
      <xdr:rowOff>0</xdr:rowOff>
    </xdr:to>
    <xdr:graphicFrame macro="">
      <xdr:nvGraphicFramePr>
        <xdr:cNvPr id="5" name="Growth_GRUPO_AEROPORTUARIO">
          <a:extLst>
            <a:ext uri="{FF2B5EF4-FFF2-40B4-BE49-F238E27FC236}">
              <a16:creationId xmlns:a16="http://schemas.microsoft.com/office/drawing/2014/main" id="{08011665-E600-E570-142C-1C083EC1D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9</xdr:col>
      <xdr:colOff>0</xdr:colOff>
      <xdr:row>50</xdr:row>
      <xdr:rowOff>0</xdr:rowOff>
    </xdr:to>
    <xdr:graphicFrame macro="">
      <xdr:nvGraphicFramePr>
        <xdr:cNvPr id="6" name="Growth_BANORTE">
          <a:extLst>
            <a:ext uri="{FF2B5EF4-FFF2-40B4-BE49-F238E27FC236}">
              <a16:creationId xmlns:a16="http://schemas.microsoft.com/office/drawing/2014/main" id="{395AAB95-921A-D19E-A62F-4B3F7046F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34</xdr:row>
      <xdr:rowOff>0</xdr:rowOff>
    </xdr:from>
    <xdr:to>
      <xdr:col>18</xdr:col>
      <xdr:colOff>0</xdr:colOff>
      <xdr:row>50</xdr:row>
      <xdr:rowOff>0</xdr:rowOff>
    </xdr:to>
    <xdr:graphicFrame macro="">
      <xdr:nvGraphicFramePr>
        <xdr:cNvPr id="7" name="Growth_GRUMA">
          <a:extLst>
            <a:ext uri="{FF2B5EF4-FFF2-40B4-BE49-F238E27FC236}">
              <a16:creationId xmlns:a16="http://schemas.microsoft.com/office/drawing/2014/main" id="{62F3431B-6FAA-2C66-CA3E-85CD21D0A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9</xdr:col>
      <xdr:colOff>0</xdr:colOff>
      <xdr:row>67</xdr:row>
      <xdr:rowOff>0</xdr:rowOff>
    </xdr:to>
    <xdr:graphicFrame macro="">
      <xdr:nvGraphicFramePr>
        <xdr:cNvPr id="8" name="Growth_HERDEZ">
          <a:extLst>
            <a:ext uri="{FF2B5EF4-FFF2-40B4-BE49-F238E27FC236}">
              <a16:creationId xmlns:a16="http://schemas.microsoft.com/office/drawing/2014/main" id="{C0448A6B-C71F-5E4D-F72E-F9EC4D1E6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51</xdr:row>
      <xdr:rowOff>0</xdr:rowOff>
    </xdr:from>
    <xdr:to>
      <xdr:col>18</xdr:col>
      <xdr:colOff>0</xdr:colOff>
      <xdr:row>67</xdr:row>
      <xdr:rowOff>0</xdr:rowOff>
    </xdr:to>
    <xdr:graphicFrame macro="">
      <xdr:nvGraphicFramePr>
        <xdr:cNvPr id="9" name="Growth_KIMBERLY_CLARK">
          <a:extLst>
            <a:ext uri="{FF2B5EF4-FFF2-40B4-BE49-F238E27FC236}">
              <a16:creationId xmlns:a16="http://schemas.microsoft.com/office/drawing/2014/main" id="{E44A9E0C-F32C-699D-1E4B-CB95B699E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68</xdr:row>
      <xdr:rowOff>0</xdr:rowOff>
    </xdr:from>
    <xdr:to>
      <xdr:col>9</xdr:col>
      <xdr:colOff>0</xdr:colOff>
      <xdr:row>84</xdr:row>
      <xdr:rowOff>0</xdr:rowOff>
    </xdr:to>
    <xdr:graphicFrame macro="">
      <xdr:nvGraphicFramePr>
        <xdr:cNvPr id="10" name="Growth_PE_OLES">
          <a:extLst>
            <a:ext uri="{FF2B5EF4-FFF2-40B4-BE49-F238E27FC236}">
              <a16:creationId xmlns:a16="http://schemas.microsoft.com/office/drawing/2014/main" id="{CF6276FB-3F7D-EB64-F896-2F97F8601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68</xdr:row>
      <xdr:rowOff>0</xdr:rowOff>
    </xdr:from>
    <xdr:to>
      <xdr:col>18</xdr:col>
      <xdr:colOff>0</xdr:colOff>
      <xdr:row>84</xdr:row>
      <xdr:rowOff>0</xdr:rowOff>
    </xdr:to>
    <xdr:graphicFrame macro="">
      <xdr:nvGraphicFramePr>
        <xdr:cNvPr id="11" name="Growth_WALMART">
          <a:extLst>
            <a:ext uri="{FF2B5EF4-FFF2-40B4-BE49-F238E27FC236}">
              <a16:creationId xmlns:a16="http://schemas.microsoft.com/office/drawing/2014/main" id="{78325ECD-BC73-B919-DDFF-95D3767D5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85</xdr:row>
      <xdr:rowOff>0</xdr:rowOff>
    </xdr:from>
    <xdr:to>
      <xdr:col>9</xdr:col>
      <xdr:colOff>0</xdr:colOff>
      <xdr:row>101</xdr:row>
      <xdr:rowOff>0</xdr:rowOff>
    </xdr:to>
    <xdr:graphicFrame macro="">
      <xdr:nvGraphicFramePr>
        <xdr:cNvPr id="12" name="Growth_IPC">
          <a:extLst>
            <a:ext uri="{FF2B5EF4-FFF2-40B4-BE49-F238E27FC236}">
              <a16:creationId xmlns:a16="http://schemas.microsoft.com/office/drawing/2014/main" id="{8159E3C9-046B-7437-782C-F2C666916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4"/>
  <sheetViews>
    <sheetView tabSelected="1" topLeftCell="R1" zoomScale="160" zoomScaleNormal="160" workbookViewId="0">
      <pane ySplit="1" topLeftCell="A234" activePane="bottomLeft" state="frozen"/>
      <selection pane="bottomLeft" activeCell="Z250" sqref="Z250"/>
    </sheetView>
  </sheetViews>
  <sheetFormatPr baseColWidth="10" defaultColWidth="11.54296875" defaultRowHeight="14.75" x14ac:dyDescent="0.75"/>
  <cols>
    <col min="1" max="1" width="10.2265625" bestFit="1" customWidth="1"/>
    <col min="2" max="2" width="10.1328125" bestFit="1" customWidth="1"/>
    <col min="3" max="3" width="15.81640625" bestFit="1" customWidth="1"/>
    <col min="4" max="4" width="9.1796875" bestFit="1" customWidth="1"/>
    <col min="5" max="5" width="15.81640625" bestFit="1" customWidth="1"/>
    <col min="6" max="6" width="9.1796875" bestFit="1" customWidth="1"/>
    <col min="7" max="7" width="15.81640625" bestFit="1" customWidth="1"/>
    <col min="8" max="8" width="12.86328125" customWidth="1"/>
    <col min="9" max="9" width="15.81640625" bestFit="1" customWidth="1"/>
    <col min="10" max="10" width="11.2265625" bestFit="1" customWidth="1"/>
    <col min="11" max="11" width="15.81640625" bestFit="1" customWidth="1"/>
    <col min="12" max="12" width="9.58984375" bestFit="1" customWidth="1"/>
    <col min="13" max="13" width="15.81640625" bestFit="1" customWidth="1"/>
    <col min="14" max="14" width="9.58984375" bestFit="1" customWidth="1"/>
    <col min="15" max="15" width="15.81640625" bestFit="1" customWidth="1"/>
    <col min="16" max="16" width="11.08984375" customWidth="1"/>
    <col min="17" max="17" width="15.81640625" bestFit="1" customWidth="1"/>
    <col min="18" max="18" width="10.26953125" customWidth="1"/>
    <col min="19" max="19" width="16.953125" bestFit="1" customWidth="1"/>
    <col min="20" max="20" width="10.54296875" customWidth="1"/>
    <col min="21" max="21" width="16.953125" bestFit="1" customWidth="1"/>
    <col min="22" max="22" width="13.54296875" bestFit="1" customWidth="1"/>
  </cols>
  <sheetData>
    <row r="1" spans="1:29" x14ac:dyDescent="0.75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8</v>
      </c>
      <c r="R1" t="s">
        <v>10</v>
      </c>
      <c r="T1" t="s">
        <v>11</v>
      </c>
      <c r="V1" t="s">
        <v>9</v>
      </c>
      <c r="W1" t="s">
        <v>26</v>
      </c>
      <c r="X1" t="s">
        <v>27</v>
      </c>
      <c r="Y1" t="s">
        <v>28</v>
      </c>
      <c r="Z1" s="20" t="s">
        <v>32</v>
      </c>
      <c r="AA1" s="20" t="s">
        <v>27</v>
      </c>
      <c r="AB1" s="20" t="s">
        <v>28</v>
      </c>
      <c r="AC1" s="20" t="s">
        <v>33</v>
      </c>
    </row>
    <row r="2" spans="1:29" x14ac:dyDescent="0.75">
      <c r="A2" s="1">
        <v>38776.041250000002</v>
      </c>
      <c r="B2" s="14">
        <v>9.2799999999999994</v>
      </c>
      <c r="C2" s="14"/>
      <c r="D2" s="14">
        <v>22.8</v>
      </c>
      <c r="E2" s="14"/>
      <c r="F2" s="14">
        <v>18.333333</v>
      </c>
      <c r="G2" s="14"/>
      <c r="H2" s="14">
        <v>24.199211999999999</v>
      </c>
      <c r="I2" s="14"/>
      <c r="J2" s="14">
        <v>25.61</v>
      </c>
      <c r="K2" s="14"/>
      <c r="L2" s="14">
        <v>33.229999999999997</v>
      </c>
      <c r="M2" s="14"/>
      <c r="N2" s="14">
        <v>7.85</v>
      </c>
      <c r="O2" s="14"/>
      <c r="P2" s="14">
        <v>10.794331</v>
      </c>
      <c r="Q2" s="14"/>
      <c r="R2" s="14">
        <v>66.77</v>
      </c>
      <c r="S2" s="14"/>
      <c r="T2" s="14">
        <v>14.99</v>
      </c>
      <c r="U2" s="14" t="e">
        <f t="shared" ref="U2:U65" si="0">+T2/T1-1</f>
        <v>#VALUE!</v>
      </c>
      <c r="V2" s="14">
        <v>56739.898437999997</v>
      </c>
      <c r="X2">
        <v>0.5</v>
      </c>
      <c r="Y2" s="14">
        <v>0.5</v>
      </c>
      <c r="AA2" s="14">
        <v>0.46089999999999998</v>
      </c>
      <c r="AB2" s="14">
        <v>0.23430000000000001</v>
      </c>
      <c r="AC2" s="14">
        <v>0.30470000000000003</v>
      </c>
    </row>
    <row r="3" spans="1:29" x14ac:dyDescent="0.75">
      <c r="A3" s="1">
        <v>38807.041250000002</v>
      </c>
      <c r="B3" s="14">
        <v>8.93</v>
      </c>
      <c r="C3" s="14">
        <f t="shared" ref="C3:C66" si="1">+B3/B2-1</f>
        <v>-3.7715517241379226E-2</v>
      </c>
      <c r="D3" s="14">
        <v>24.91</v>
      </c>
      <c r="E3" s="14">
        <f t="shared" ref="E3:E66" si="2">+D3/D2-1</f>
        <v>9.2543859649122817E-2</v>
      </c>
      <c r="F3" s="14">
        <v>15.666667</v>
      </c>
      <c r="G3" s="14">
        <f t="shared" ref="G3:G66" si="3">+F3/F2-1</f>
        <v>-0.14545451173553658</v>
      </c>
      <c r="H3" s="14">
        <v>28.002751</v>
      </c>
      <c r="I3" s="14">
        <f t="shared" ref="I3:I66" si="4">+H3/H2-1</f>
        <v>0.15717615102508309</v>
      </c>
      <c r="J3" s="14">
        <v>25.89</v>
      </c>
      <c r="K3" s="14">
        <f t="shared" ref="K3:K66" si="5">+J3/J2-1</f>
        <v>1.0933229207340966E-2</v>
      </c>
      <c r="L3" s="14">
        <v>31.76</v>
      </c>
      <c r="M3" s="14">
        <f t="shared" ref="M3:M66" si="6">+L3/L2-1</f>
        <v>-4.4237135118868398E-2</v>
      </c>
      <c r="N3" s="14">
        <v>8.41</v>
      </c>
      <c r="O3" s="14">
        <f t="shared" ref="O3:O66" si="7">+N3/N2-1</f>
        <v>7.1337579617834379E-2</v>
      </c>
      <c r="P3" s="14">
        <v>11.228396</v>
      </c>
      <c r="Q3" s="14">
        <f t="shared" ref="Q3:Q66" si="8">+P3/P2-1</f>
        <v>4.0212311443849513E-2</v>
      </c>
      <c r="R3" s="14">
        <v>85.81</v>
      </c>
      <c r="S3" s="14">
        <f t="shared" ref="S3:S66" si="9">+R3/R2-1</f>
        <v>0.28515800509210742</v>
      </c>
      <c r="T3" s="14">
        <v>14.38</v>
      </c>
      <c r="U3" s="14">
        <f t="shared" si="0"/>
        <v>-4.0693795863909199E-2</v>
      </c>
      <c r="V3" s="14">
        <v>56593.648437999997</v>
      </c>
      <c r="W3">
        <f>S3*$X$2+U3*$Y$2</f>
        <v>0.12223210461409911</v>
      </c>
      <c r="Z3">
        <f>SUM(AA3:AC3)</f>
        <v>3.9675809883841513E-2</v>
      </c>
      <c r="AA3">
        <f>$AA$2*E3</f>
        <v>4.2653464912280704E-2</v>
      </c>
      <c r="AB3">
        <f>$AB$2*Q3</f>
        <v>9.421744571293942E-3</v>
      </c>
      <c r="AC3">
        <f>$AC$2*U3</f>
        <v>-1.2399399599733135E-2</v>
      </c>
    </row>
    <row r="4" spans="1:29" x14ac:dyDescent="0.75">
      <c r="A4" s="1">
        <v>38835.041250000002</v>
      </c>
      <c r="B4" s="14">
        <v>8.65</v>
      </c>
      <c r="C4" s="14">
        <f t="shared" si="1"/>
        <v>-3.1354983202687481E-2</v>
      </c>
      <c r="D4" s="14">
        <v>26.28</v>
      </c>
      <c r="E4" s="14">
        <f t="shared" si="2"/>
        <v>5.4997992773986315E-2</v>
      </c>
      <c r="F4" s="14">
        <v>17.003333000000001</v>
      </c>
      <c r="G4" s="14">
        <f t="shared" si="3"/>
        <v>8.5319104567678661E-2</v>
      </c>
      <c r="H4" s="14">
        <v>29.582187000000001</v>
      </c>
      <c r="I4" s="14">
        <f t="shared" si="4"/>
        <v>5.6402886987782175E-2</v>
      </c>
      <c r="J4" s="14">
        <v>28.9</v>
      </c>
      <c r="K4" s="14">
        <f t="shared" si="5"/>
        <v>0.11626110467361905</v>
      </c>
      <c r="L4" s="14">
        <v>34.24</v>
      </c>
      <c r="M4" s="14">
        <f t="shared" si="6"/>
        <v>7.8085642317380355E-2</v>
      </c>
      <c r="N4" s="14">
        <v>9.6</v>
      </c>
      <c r="O4" s="14">
        <f t="shared" si="7"/>
        <v>0.14149821640903681</v>
      </c>
      <c r="P4" s="14">
        <v>11.77399</v>
      </c>
      <c r="Q4" s="14">
        <f t="shared" si="8"/>
        <v>4.8590555587814999E-2</v>
      </c>
      <c r="R4" s="14">
        <v>99.92</v>
      </c>
      <c r="S4" s="14">
        <f t="shared" si="9"/>
        <v>0.16443304976110018</v>
      </c>
      <c r="T4" s="14">
        <v>15.775</v>
      </c>
      <c r="U4" s="14">
        <f t="shared" si="0"/>
        <v>9.7009735744088887E-2</v>
      </c>
      <c r="V4" s="14">
        <v>56362.671875</v>
      </c>
      <c r="W4">
        <f t="shared" ref="W4:W67" si="10">S4*$X$2+U4*$Y$2</f>
        <v>0.13072139275259453</v>
      </c>
      <c r="Z4">
        <f t="shared" ref="Z4:Z67" si="11">SUM(AA4:AC4)</f>
        <v>6.6292208524979232E-2</v>
      </c>
      <c r="AA4">
        <f t="shared" ref="AA4:AA67" si="12">$AA$2*E4</f>
        <v>2.534857486953029E-2</v>
      </c>
      <c r="AB4">
        <f t="shared" ref="AB4:AB67" si="13">$AB$2*Q4</f>
        <v>1.1384767174225055E-2</v>
      </c>
      <c r="AC4">
        <f t="shared" ref="AC4:AC67" si="14">$AC$2*U4</f>
        <v>2.9558866481223887E-2</v>
      </c>
    </row>
    <row r="5" spans="1:29" x14ac:dyDescent="0.75">
      <c r="A5" s="1">
        <v>38868.041250000002</v>
      </c>
      <c r="B5" s="14">
        <v>8.25</v>
      </c>
      <c r="C5" s="14">
        <f t="shared" si="1"/>
        <v>-4.6242774566474076E-2</v>
      </c>
      <c r="D5" s="14">
        <v>22.67</v>
      </c>
      <c r="E5" s="14">
        <f t="shared" si="2"/>
        <v>-0.13736681887366819</v>
      </c>
      <c r="F5" s="14">
        <v>17.05</v>
      </c>
      <c r="G5" s="14">
        <f t="shared" si="3"/>
        <v>2.7445795480214308E-3</v>
      </c>
      <c r="H5" s="14">
        <v>31.14556</v>
      </c>
      <c r="I5" s="14">
        <f t="shared" si="4"/>
        <v>5.2848459108178814E-2</v>
      </c>
      <c r="J5" s="14">
        <v>26.86</v>
      </c>
      <c r="K5" s="14">
        <f t="shared" si="5"/>
        <v>-7.0588235294117618E-2</v>
      </c>
      <c r="L5" s="14">
        <v>27.85</v>
      </c>
      <c r="M5" s="14">
        <f t="shared" si="6"/>
        <v>-0.18662383177570097</v>
      </c>
      <c r="N5" s="14">
        <v>9.3000000000000007</v>
      </c>
      <c r="O5" s="14">
        <f t="shared" si="7"/>
        <v>-3.1249999999999889E-2</v>
      </c>
      <c r="P5" s="14">
        <v>11.566001</v>
      </c>
      <c r="Q5" s="14">
        <f t="shared" si="8"/>
        <v>-1.766512456694791E-2</v>
      </c>
      <c r="R5" s="14">
        <v>76.28</v>
      </c>
      <c r="S5" s="14">
        <f t="shared" si="9"/>
        <v>-0.23658927141713371</v>
      </c>
      <c r="T5" s="14">
        <v>14.82</v>
      </c>
      <c r="U5" s="14">
        <f t="shared" si="0"/>
        <v>-6.053882725832016E-2</v>
      </c>
      <c r="V5" s="14">
        <v>56482.910155999998</v>
      </c>
      <c r="W5">
        <f t="shared" si="10"/>
        <v>-0.14856404933772693</v>
      </c>
      <c r="Z5">
        <f t="shared" si="11"/>
        <v>-8.5897486170519718E-2</v>
      </c>
      <c r="AA5">
        <f t="shared" si="12"/>
        <v>-6.3312366818873672E-2</v>
      </c>
      <c r="AB5">
        <f t="shared" si="13"/>
        <v>-4.1389386860358956E-3</v>
      </c>
      <c r="AC5">
        <f t="shared" si="14"/>
        <v>-1.8446180665610153E-2</v>
      </c>
    </row>
    <row r="6" spans="1:29" x14ac:dyDescent="0.75">
      <c r="A6" s="1">
        <v>38898.041250000002</v>
      </c>
      <c r="B6" s="14">
        <v>8.43</v>
      </c>
      <c r="C6" s="14">
        <f t="shared" si="1"/>
        <v>2.1818181818181737E-2</v>
      </c>
      <c r="D6" s="14">
        <v>22.8</v>
      </c>
      <c r="E6" s="14">
        <f t="shared" si="2"/>
        <v>5.7344508160563912E-3</v>
      </c>
      <c r="F6" s="14">
        <v>20.3</v>
      </c>
      <c r="G6" s="14">
        <f t="shared" si="3"/>
        <v>0.19061583577712615</v>
      </c>
      <c r="H6" s="14">
        <v>30.479523</v>
      </c>
      <c r="I6" s="14">
        <f t="shared" si="4"/>
        <v>-2.1384653221839578E-2</v>
      </c>
      <c r="J6" s="14">
        <v>26.25</v>
      </c>
      <c r="K6" s="14">
        <f t="shared" si="5"/>
        <v>-2.2710349962769882E-2</v>
      </c>
      <c r="L6" s="14">
        <v>30.45</v>
      </c>
      <c r="M6" s="14">
        <f t="shared" si="6"/>
        <v>9.3357271095152461E-2</v>
      </c>
      <c r="N6" s="14">
        <v>9.17</v>
      </c>
      <c r="O6" s="14">
        <f t="shared" si="7"/>
        <v>-1.3978494623655968E-2</v>
      </c>
      <c r="P6" s="14">
        <v>10.830503</v>
      </c>
      <c r="Q6" s="14">
        <f t="shared" si="8"/>
        <v>-6.3591383054523276E-2</v>
      </c>
      <c r="R6" s="14">
        <v>72.98</v>
      </c>
      <c r="S6" s="14">
        <f t="shared" si="9"/>
        <v>-4.3261667540639759E-2</v>
      </c>
      <c r="T6" s="14">
        <v>15.59</v>
      </c>
      <c r="U6" s="14">
        <f t="shared" si="0"/>
        <v>5.1956815114709842E-2</v>
      </c>
      <c r="V6" s="14">
        <v>56503.039062999997</v>
      </c>
      <c r="W6">
        <f t="shared" si="10"/>
        <v>4.3475737870350417E-3</v>
      </c>
      <c r="Z6">
        <f t="shared" si="11"/>
        <v>3.5747888968976783E-3</v>
      </c>
      <c r="AA6">
        <f t="shared" si="12"/>
        <v>2.6430083811203905E-3</v>
      </c>
      <c r="AB6">
        <f t="shared" si="13"/>
        <v>-1.4899461049674803E-2</v>
      </c>
      <c r="AC6">
        <f t="shared" si="14"/>
        <v>1.5831241565452091E-2</v>
      </c>
    </row>
    <row r="7" spans="1:29" x14ac:dyDescent="0.75">
      <c r="A7" s="1">
        <v>38929.041250000002</v>
      </c>
      <c r="B7" s="14">
        <v>8.76</v>
      </c>
      <c r="C7" s="14">
        <f t="shared" si="1"/>
        <v>3.9145907473309594E-2</v>
      </c>
      <c r="D7" s="14">
        <v>21.78</v>
      </c>
      <c r="E7" s="14">
        <f t="shared" si="2"/>
        <v>-4.4736842105263186E-2</v>
      </c>
      <c r="F7" s="14">
        <v>21.366667</v>
      </c>
      <c r="G7" s="14">
        <f t="shared" si="3"/>
        <v>5.2545172413793084E-2</v>
      </c>
      <c r="H7" s="14">
        <v>27.132686</v>
      </c>
      <c r="I7" s="14">
        <f t="shared" si="4"/>
        <v>-0.10980608193901198</v>
      </c>
      <c r="J7" s="14">
        <v>30.12</v>
      </c>
      <c r="K7" s="14">
        <f t="shared" si="5"/>
        <v>0.14742857142857146</v>
      </c>
      <c r="L7" s="14">
        <v>32.57</v>
      </c>
      <c r="M7" s="14">
        <f t="shared" si="6"/>
        <v>6.9622331691297168E-2</v>
      </c>
      <c r="N7" s="14">
        <v>7.91</v>
      </c>
      <c r="O7" s="14">
        <f t="shared" si="7"/>
        <v>-0.13740458015267176</v>
      </c>
      <c r="P7" s="14">
        <v>12.563746</v>
      </c>
      <c r="Q7" s="14">
        <f t="shared" si="8"/>
        <v>0.16003347212959551</v>
      </c>
      <c r="R7" s="14">
        <v>87.85</v>
      </c>
      <c r="S7" s="14">
        <f t="shared" si="9"/>
        <v>0.20375445327486963</v>
      </c>
      <c r="T7" s="14">
        <v>16.96</v>
      </c>
      <c r="U7" s="14">
        <f t="shared" si="0"/>
        <v>8.7876844130853282E-2</v>
      </c>
      <c r="V7" s="14">
        <v>56714.921875</v>
      </c>
      <c r="W7">
        <f t="shared" si="10"/>
        <v>0.14581564870286146</v>
      </c>
      <c r="Z7">
        <f t="shared" si="11"/>
        <v>4.365270640031943E-2</v>
      </c>
      <c r="AA7">
        <f t="shared" si="12"/>
        <v>-2.0619210526315802E-2</v>
      </c>
      <c r="AB7">
        <f t="shared" si="13"/>
        <v>3.7495842519964233E-2</v>
      </c>
      <c r="AC7">
        <f t="shared" si="14"/>
        <v>2.6776074406670996E-2</v>
      </c>
    </row>
    <row r="8" spans="1:29" x14ac:dyDescent="0.75">
      <c r="A8" s="1">
        <v>38960.041250000002</v>
      </c>
      <c r="B8" s="14">
        <v>8.9774999999999991</v>
      </c>
      <c r="C8" s="14">
        <f t="shared" si="1"/>
        <v>2.4828767123287632E-2</v>
      </c>
      <c r="D8" s="14">
        <v>22.1</v>
      </c>
      <c r="E8" s="14">
        <f t="shared" si="2"/>
        <v>1.469237832874204E-2</v>
      </c>
      <c r="F8" s="14">
        <v>24.08</v>
      </c>
      <c r="G8" s="14">
        <f t="shared" si="3"/>
        <v>0.12698906198144977</v>
      </c>
      <c r="H8" s="14">
        <v>30.754263000000002</v>
      </c>
      <c r="I8" s="14">
        <f t="shared" si="4"/>
        <v>0.13347653822404459</v>
      </c>
      <c r="J8" s="14">
        <v>32</v>
      </c>
      <c r="K8" s="14">
        <f t="shared" si="5"/>
        <v>6.2416998671978696E-2</v>
      </c>
      <c r="L8" s="14">
        <v>32.53</v>
      </c>
      <c r="M8" s="14">
        <f t="shared" si="6"/>
        <v>-1.228124040528078E-3</v>
      </c>
      <c r="N8" s="14">
        <v>7.7</v>
      </c>
      <c r="O8" s="14">
        <f t="shared" si="7"/>
        <v>-2.6548672566371723E-2</v>
      </c>
      <c r="P8" s="14">
        <v>12.391928999999999</v>
      </c>
      <c r="Q8" s="14">
        <f t="shared" si="8"/>
        <v>-1.3675618720722316E-2</v>
      </c>
      <c r="R8" s="14">
        <v>92.83</v>
      </c>
      <c r="S8" s="14">
        <f t="shared" si="9"/>
        <v>5.6687535571997794E-2</v>
      </c>
      <c r="T8" s="14">
        <v>18.670000000000002</v>
      </c>
      <c r="U8" s="14">
        <f t="shared" si="0"/>
        <v>0.10082547169811318</v>
      </c>
      <c r="V8" s="14">
        <v>56273.449219000002</v>
      </c>
      <c r="W8">
        <f t="shared" si="10"/>
        <v>7.8756503635055486E-2</v>
      </c>
      <c r="Z8">
        <f t="shared" si="11"/>
        <v>3.4289040931867056E-2</v>
      </c>
      <c r="AA8">
        <f t="shared" si="12"/>
        <v>6.7717171717172056E-3</v>
      </c>
      <c r="AB8">
        <f t="shared" si="13"/>
        <v>-3.2041974662652389E-3</v>
      </c>
      <c r="AC8">
        <f t="shared" si="14"/>
        <v>3.072152122641509E-2</v>
      </c>
    </row>
    <row r="9" spans="1:29" x14ac:dyDescent="0.75">
      <c r="A9" s="1">
        <v>38989.041250000002</v>
      </c>
      <c r="B9" s="14">
        <v>9.6274999999999995</v>
      </c>
      <c r="C9" s="14">
        <f t="shared" si="1"/>
        <v>7.2403230297967136E-2</v>
      </c>
      <c r="D9" s="14">
        <v>23.29</v>
      </c>
      <c r="E9" s="14">
        <f t="shared" si="2"/>
        <v>5.3846153846153655E-2</v>
      </c>
      <c r="F9" s="14">
        <v>23.333333</v>
      </c>
      <c r="G9" s="14">
        <f t="shared" si="3"/>
        <v>-3.1007765780730834E-2</v>
      </c>
      <c r="H9" s="14">
        <v>31.270441999999999</v>
      </c>
      <c r="I9" s="14">
        <f t="shared" si="4"/>
        <v>1.6783982110057272E-2</v>
      </c>
      <c r="J9" s="14">
        <v>34.659999999999997</v>
      </c>
      <c r="K9" s="14">
        <f t="shared" si="5"/>
        <v>8.3124999999999893E-2</v>
      </c>
      <c r="L9" s="14">
        <v>33.19</v>
      </c>
      <c r="M9" s="14">
        <f t="shared" si="6"/>
        <v>2.0288964033200019E-2</v>
      </c>
      <c r="N9" s="14">
        <v>7.9</v>
      </c>
      <c r="O9" s="14">
        <f t="shared" si="7"/>
        <v>2.5974025974025983E-2</v>
      </c>
      <c r="P9" s="14">
        <v>13.335414999999999</v>
      </c>
      <c r="Q9" s="14">
        <f t="shared" si="8"/>
        <v>7.6137137325431814E-2</v>
      </c>
      <c r="R9" s="14">
        <v>85.15</v>
      </c>
      <c r="S9" s="14">
        <f t="shared" si="9"/>
        <v>-8.2731875471291572E-2</v>
      </c>
      <c r="T9" s="14">
        <v>18.7</v>
      </c>
      <c r="U9" s="14">
        <f t="shared" si="0"/>
        <v>1.6068559185857811E-3</v>
      </c>
      <c r="V9" s="14">
        <v>55841.300780999998</v>
      </c>
      <c r="W9">
        <f t="shared" si="10"/>
        <v>-4.0562509776352895E-2</v>
      </c>
      <c r="Z9">
        <f t="shared" si="11"/>
        <v>4.3146232581433977E-2</v>
      </c>
      <c r="AA9">
        <f t="shared" si="12"/>
        <v>2.4817692307692218E-2</v>
      </c>
      <c r="AB9">
        <f t="shared" si="13"/>
        <v>1.7838931275348673E-2</v>
      </c>
      <c r="AC9">
        <f t="shared" si="14"/>
        <v>4.896089983930876E-4</v>
      </c>
    </row>
    <row r="10" spans="1:29" x14ac:dyDescent="0.75">
      <c r="A10" s="1">
        <v>39021.041250000002</v>
      </c>
      <c r="B10" s="14">
        <v>10.7675</v>
      </c>
      <c r="C10" s="14">
        <f t="shared" si="1"/>
        <v>0.11841080238899004</v>
      </c>
      <c r="D10" s="14">
        <v>23.29</v>
      </c>
      <c r="E10" s="14">
        <f t="shared" si="2"/>
        <v>0</v>
      </c>
      <c r="F10" s="14">
        <v>21.666667</v>
      </c>
      <c r="G10" s="14">
        <f t="shared" si="3"/>
        <v>-7.1428543877550599E-2</v>
      </c>
      <c r="H10" s="14">
        <v>33.818033999999997</v>
      </c>
      <c r="I10" s="14">
        <f t="shared" si="4"/>
        <v>8.1469651116540032E-2</v>
      </c>
      <c r="J10" s="14">
        <v>38.74</v>
      </c>
      <c r="K10" s="14">
        <f t="shared" si="5"/>
        <v>0.11771494518176584</v>
      </c>
      <c r="L10" s="14">
        <v>34.85</v>
      </c>
      <c r="M10" s="14">
        <f t="shared" si="6"/>
        <v>5.001506477854778E-2</v>
      </c>
      <c r="N10" s="14">
        <v>8.3000000000000007</v>
      </c>
      <c r="O10" s="14">
        <f t="shared" si="7"/>
        <v>5.0632911392405111E-2</v>
      </c>
      <c r="P10" s="14">
        <v>13.561489999999999</v>
      </c>
      <c r="Q10" s="14">
        <f t="shared" si="8"/>
        <v>1.695297821627606E-2</v>
      </c>
      <c r="R10" s="14">
        <v>88.98</v>
      </c>
      <c r="S10" s="14">
        <f t="shared" si="9"/>
        <v>4.4979448032883118E-2</v>
      </c>
      <c r="T10" s="14">
        <v>18.73</v>
      </c>
      <c r="U10" s="14">
        <f t="shared" si="0"/>
        <v>1.6042780748664054E-3</v>
      </c>
      <c r="V10" s="14">
        <v>55517.808594000002</v>
      </c>
      <c r="W10">
        <f t="shared" si="10"/>
        <v>2.3291863053874762E-2</v>
      </c>
      <c r="Z10">
        <f t="shared" si="11"/>
        <v>4.4609063254852747E-3</v>
      </c>
      <c r="AA10">
        <f t="shared" si="12"/>
        <v>0</v>
      </c>
      <c r="AB10">
        <f t="shared" si="13"/>
        <v>3.9720827960734806E-3</v>
      </c>
      <c r="AC10">
        <f t="shared" si="14"/>
        <v>4.888235294117938E-4</v>
      </c>
    </row>
    <row r="11" spans="1:29" x14ac:dyDescent="0.75">
      <c r="A11" s="1">
        <v>39051.041250000002</v>
      </c>
      <c r="B11" s="14">
        <v>11.26</v>
      </c>
      <c r="C11" s="14">
        <f t="shared" si="1"/>
        <v>4.573949384722531E-2</v>
      </c>
      <c r="D11" s="14">
        <v>25.2</v>
      </c>
      <c r="E11" s="14">
        <f t="shared" si="2"/>
        <v>8.2009446114212015E-2</v>
      </c>
      <c r="F11" s="14">
        <v>24.3</v>
      </c>
      <c r="G11" s="14">
        <f t="shared" si="3"/>
        <v>0.12153844428402394</v>
      </c>
      <c r="H11" s="14">
        <v>36.049258000000002</v>
      </c>
      <c r="I11" s="14">
        <f t="shared" si="4"/>
        <v>6.597734214827522E-2</v>
      </c>
      <c r="J11" s="14">
        <v>40.97</v>
      </c>
      <c r="K11" s="14">
        <f t="shared" si="5"/>
        <v>5.756324212700048E-2</v>
      </c>
      <c r="L11" s="14">
        <v>36.950000000000003</v>
      </c>
      <c r="M11" s="14">
        <f t="shared" si="6"/>
        <v>6.0258249641319983E-2</v>
      </c>
      <c r="N11" s="14">
        <v>9.4</v>
      </c>
      <c r="O11" s="14">
        <f t="shared" si="7"/>
        <v>0.13253012048192758</v>
      </c>
      <c r="P11" s="14">
        <v>13.757422</v>
      </c>
      <c r="Q11" s="14">
        <f t="shared" si="8"/>
        <v>1.444767499736388E-2</v>
      </c>
      <c r="R11" s="14">
        <v>97.91</v>
      </c>
      <c r="S11" s="14">
        <f t="shared" si="9"/>
        <v>0.10035963137783765</v>
      </c>
      <c r="T11" s="14">
        <v>20.53</v>
      </c>
      <c r="U11" s="14">
        <f t="shared" si="0"/>
        <v>9.6102509343299447E-2</v>
      </c>
      <c r="V11" s="14">
        <v>56478.898437999997</v>
      </c>
      <c r="W11">
        <f t="shared" si="10"/>
        <v>9.8231070360568551E-2</v>
      </c>
      <c r="Z11">
        <f t="shared" si="11"/>
        <v>7.0465678562826012E-2</v>
      </c>
      <c r="AA11">
        <f t="shared" si="12"/>
        <v>3.7798153714040314E-2</v>
      </c>
      <c r="AB11">
        <f t="shared" si="13"/>
        <v>3.3850902518823573E-3</v>
      </c>
      <c r="AC11">
        <f t="shared" si="14"/>
        <v>2.9282434596903346E-2</v>
      </c>
    </row>
    <row r="12" spans="1:29" x14ac:dyDescent="0.75">
      <c r="A12" s="1">
        <v>39080.041250000002</v>
      </c>
      <c r="B12" s="14">
        <v>13.5</v>
      </c>
      <c r="C12" s="14">
        <f t="shared" si="1"/>
        <v>0.19893428063943164</v>
      </c>
      <c r="D12" s="14">
        <v>25.72</v>
      </c>
      <c r="E12" s="14">
        <f t="shared" si="2"/>
        <v>2.0634920634920562E-2</v>
      </c>
      <c r="F12" s="14">
        <v>28.333333</v>
      </c>
      <c r="G12" s="14">
        <f t="shared" si="3"/>
        <v>0.16598078189300414</v>
      </c>
      <c r="H12" s="14">
        <v>35.291640999999998</v>
      </c>
      <c r="I12" s="14">
        <f t="shared" si="4"/>
        <v>-2.1016160720978005E-2</v>
      </c>
      <c r="J12" s="14">
        <v>42.25</v>
      </c>
      <c r="K12" s="14">
        <f t="shared" si="5"/>
        <v>3.1242372467659374E-2</v>
      </c>
      <c r="L12" s="14">
        <v>38.869999999999997</v>
      </c>
      <c r="M12" s="14">
        <f t="shared" si="6"/>
        <v>5.1962110960757535E-2</v>
      </c>
      <c r="N12" s="14">
        <v>10.3</v>
      </c>
      <c r="O12" s="14">
        <f t="shared" si="7"/>
        <v>9.5744680851063801E-2</v>
      </c>
      <c r="P12" s="14">
        <v>14.975213</v>
      </c>
      <c r="Q12" s="14">
        <f t="shared" si="8"/>
        <v>8.8518837322864696E-2</v>
      </c>
      <c r="R12" s="14">
        <v>99.1</v>
      </c>
      <c r="S12" s="14">
        <f t="shared" si="9"/>
        <v>1.2154018997038163E-2</v>
      </c>
      <c r="T12" s="14">
        <v>23.78</v>
      </c>
      <c r="U12" s="14">
        <f t="shared" si="0"/>
        <v>0.15830491962981008</v>
      </c>
      <c r="V12" s="14">
        <v>57035.898437999997</v>
      </c>
      <c r="W12">
        <f t="shared" si="10"/>
        <v>8.5229469313424122E-2</v>
      </c>
      <c r="Z12">
        <f t="shared" si="11"/>
        <v>7.8486107516585218E-2</v>
      </c>
      <c r="AA12">
        <f t="shared" si="12"/>
        <v>9.5106349206348865E-3</v>
      </c>
      <c r="AB12">
        <f t="shared" si="13"/>
        <v>2.0739963584747199E-2</v>
      </c>
      <c r="AC12">
        <f t="shared" si="14"/>
        <v>4.8235509011203138E-2</v>
      </c>
    </row>
    <row r="13" spans="1:29" x14ac:dyDescent="0.75">
      <c r="A13" s="1">
        <v>39113.041250000002</v>
      </c>
      <c r="B13" s="14">
        <v>13.775</v>
      </c>
      <c r="C13" s="14">
        <f t="shared" si="1"/>
        <v>2.0370370370370372E-2</v>
      </c>
      <c r="D13" s="14">
        <v>27.35</v>
      </c>
      <c r="E13" s="14">
        <f t="shared" si="2"/>
        <v>6.3374805598755968E-2</v>
      </c>
      <c r="F13" s="14">
        <v>30</v>
      </c>
      <c r="G13" s="14">
        <f t="shared" si="3"/>
        <v>5.8823541868512352E-2</v>
      </c>
      <c r="H13" s="14">
        <v>37.323053999999999</v>
      </c>
      <c r="I13" s="14">
        <f t="shared" si="4"/>
        <v>5.7560740799783128E-2</v>
      </c>
      <c r="J13" s="14">
        <v>43.77</v>
      </c>
      <c r="K13" s="14">
        <f t="shared" si="5"/>
        <v>3.5976331360946912E-2</v>
      </c>
      <c r="L13" s="14">
        <v>32.869999999999997</v>
      </c>
      <c r="M13" s="14">
        <f t="shared" si="6"/>
        <v>-0.15436068947774639</v>
      </c>
      <c r="N13" s="14">
        <v>10</v>
      </c>
      <c r="O13" s="14">
        <f t="shared" si="7"/>
        <v>-2.9126213592233108E-2</v>
      </c>
      <c r="P13" s="14">
        <v>14.26383</v>
      </c>
      <c r="Q13" s="14">
        <f t="shared" si="8"/>
        <v>-4.7504032163014909E-2</v>
      </c>
      <c r="R13" s="14">
        <v>104.56</v>
      </c>
      <c r="S13" s="14">
        <f t="shared" si="9"/>
        <v>5.5095862764884096E-2</v>
      </c>
      <c r="T13" s="14">
        <v>24.41</v>
      </c>
      <c r="U13" s="14">
        <f t="shared" si="0"/>
        <v>2.6492851135407891E-2</v>
      </c>
      <c r="V13" s="14">
        <v>57323.140625</v>
      </c>
      <c r="W13">
        <f t="shared" si="10"/>
        <v>4.0794356950145994E-2</v>
      </c>
      <c r="Z13">
        <f t="shared" si="11"/>
        <v>2.6151624905631016E-2</v>
      </c>
      <c r="AA13">
        <f t="shared" si="12"/>
        <v>2.9209447900466624E-2</v>
      </c>
      <c r="AB13">
        <f t="shared" si="13"/>
        <v>-1.1130194735794394E-2</v>
      </c>
      <c r="AC13">
        <f t="shared" si="14"/>
        <v>8.0723717409587857E-3</v>
      </c>
    </row>
    <row r="14" spans="1:29" x14ac:dyDescent="0.75">
      <c r="A14" s="1">
        <v>39141.041250000002</v>
      </c>
      <c r="B14" s="14">
        <v>12.967499999999999</v>
      </c>
      <c r="C14" s="14">
        <f t="shared" si="1"/>
        <v>-5.8620689655172531E-2</v>
      </c>
      <c r="D14" s="14">
        <v>26.77</v>
      </c>
      <c r="E14" s="14">
        <f t="shared" si="2"/>
        <v>-2.1206581352833709E-2</v>
      </c>
      <c r="F14" s="14">
        <v>31</v>
      </c>
      <c r="G14" s="14">
        <f t="shared" si="3"/>
        <v>3.3333333333333437E-2</v>
      </c>
      <c r="H14" s="14">
        <v>38.563547999999997</v>
      </c>
      <c r="I14" s="14">
        <f t="shared" si="4"/>
        <v>3.3236669217904691E-2</v>
      </c>
      <c r="J14" s="14">
        <v>43.61</v>
      </c>
      <c r="K14" s="14">
        <f t="shared" si="5"/>
        <v>-3.6554717843272355E-3</v>
      </c>
      <c r="L14" s="14">
        <v>34.82</v>
      </c>
      <c r="M14" s="14">
        <f t="shared" si="6"/>
        <v>5.932461210830553E-2</v>
      </c>
      <c r="N14" s="14">
        <v>11.4</v>
      </c>
      <c r="O14" s="14">
        <f t="shared" si="7"/>
        <v>0.14000000000000012</v>
      </c>
      <c r="P14" s="14">
        <v>14.113113999999999</v>
      </c>
      <c r="Q14" s="14">
        <f t="shared" si="8"/>
        <v>-1.0566306524965707E-2</v>
      </c>
      <c r="R14" s="14">
        <v>108.55</v>
      </c>
      <c r="S14" s="14">
        <f t="shared" si="9"/>
        <v>3.8159908186687019E-2</v>
      </c>
      <c r="T14" s="14">
        <v>21.58</v>
      </c>
      <c r="U14" s="14">
        <f t="shared" si="0"/>
        <v>-0.11593609176566988</v>
      </c>
      <c r="V14" s="14">
        <v>57083.558594000002</v>
      </c>
      <c r="W14">
        <f t="shared" si="10"/>
        <v>-3.888809178949143E-2</v>
      </c>
      <c r="Z14">
        <f t="shared" si="11"/>
        <v>-4.7575526125320136E-2</v>
      </c>
      <c r="AA14">
        <f t="shared" si="12"/>
        <v>-9.7741133455210554E-3</v>
      </c>
      <c r="AB14">
        <f t="shared" si="13"/>
        <v>-2.4756856187994653E-3</v>
      </c>
      <c r="AC14">
        <f t="shared" si="14"/>
        <v>-3.5325727160999618E-2</v>
      </c>
    </row>
    <row r="15" spans="1:29" x14ac:dyDescent="0.75">
      <c r="A15" s="1">
        <v>39171.041250000002</v>
      </c>
      <c r="B15" s="14">
        <v>13.88</v>
      </c>
      <c r="C15" s="14">
        <f t="shared" si="1"/>
        <v>7.0368228262965182E-2</v>
      </c>
      <c r="D15" s="14">
        <v>25.46</v>
      </c>
      <c r="E15" s="14">
        <f t="shared" si="2"/>
        <v>-4.8935375420246507E-2</v>
      </c>
      <c r="F15" s="14">
        <v>32</v>
      </c>
      <c r="G15" s="14">
        <f t="shared" si="3"/>
        <v>3.2258064516129004E-2</v>
      </c>
      <c r="H15" s="14">
        <v>39.720787000000001</v>
      </c>
      <c r="I15" s="14">
        <f t="shared" si="4"/>
        <v>3.0008623687841185E-2</v>
      </c>
      <c r="J15" s="14">
        <v>52.3</v>
      </c>
      <c r="K15" s="14">
        <f t="shared" si="5"/>
        <v>0.19926622334326982</v>
      </c>
      <c r="L15" s="14">
        <v>34.340000000000003</v>
      </c>
      <c r="M15" s="14">
        <f t="shared" si="6"/>
        <v>-1.378518093049963E-2</v>
      </c>
      <c r="N15" s="14">
        <v>11.4</v>
      </c>
      <c r="O15" s="14">
        <f t="shared" si="7"/>
        <v>0</v>
      </c>
      <c r="P15" s="14">
        <v>15.005357</v>
      </c>
      <c r="Q15" s="14">
        <f t="shared" si="8"/>
        <v>6.322084551998941E-2</v>
      </c>
      <c r="R15" s="14">
        <v>127.65</v>
      </c>
      <c r="S15" s="14">
        <f t="shared" si="9"/>
        <v>0.1759557807462</v>
      </c>
      <c r="T15" s="14">
        <v>23.57</v>
      </c>
      <c r="U15" s="14">
        <f t="shared" si="0"/>
        <v>9.2215013901761012E-2</v>
      </c>
      <c r="V15" s="14">
        <v>57820.78125</v>
      </c>
      <c r="W15">
        <f t="shared" si="10"/>
        <v>0.1340853973239805</v>
      </c>
      <c r="Z15">
        <f t="shared" si="11"/>
        <v>2.0356244310008487E-2</v>
      </c>
      <c r="AA15">
        <f t="shared" si="12"/>
        <v>-2.2554314531191614E-2</v>
      </c>
      <c r="AB15">
        <f t="shared" si="13"/>
        <v>1.4812644105333519E-2</v>
      </c>
      <c r="AC15">
        <f t="shared" si="14"/>
        <v>2.8097914735866581E-2</v>
      </c>
    </row>
    <row r="16" spans="1:29" x14ac:dyDescent="0.75">
      <c r="A16" s="1">
        <v>39202.041250000002</v>
      </c>
      <c r="B16" s="14">
        <v>14.8</v>
      </c>
      <c r="C16" s="14">
        <f t="shared" si="1"/>
        <v>6.6282420749279591E-2</v>
      </c>
      <c r="D16" s="14">
        <v>25.02</v>
      </c>
      <c r="E16" s="14">
        <f t="shared" si="2"/>
        <v>-1.7282010997643371E-2</v>
      </c>
      <c r="F16" s="14">
        <v>30.666667</v>
      </c>
      <c r="G16" s="14">
        <f t="shared" si="3"/>
        <v>-4.1666656249999989E-2</v>
      </c>
      <c r="H16" s="14">
        <v>41.38588</v>
      </c>
      <c r="I16" s="14">
        <f t="shared" si="4"/>
        <v>4.1919939803811035E-2</v>
      </c>
      <c r="J16" s="14">
        <v>47.56</v>
      </c>
      <c r="K16" s="14">
        <f t="shared" si="5"/>
        <v>-9.0630975143403347E-2</v>
      </c>
      <c r="L16" s="14">
        <v>36.090000000000003</v>
      </c>
      <c r="M16" s="14">
        <f t="shared" si="6"/>
        <v>5.0960978450786287E-2</v>
      </c>
      <c r="N16" s="14">
        <v>11.97</v>
      </c>
      <c r="O16" s="14">
        <f t="shared" si="7"/>
        <v>5.0000000000000044E-2</v>
      </c>
      <c r="P16" s="14">
        <v>14.607464</v>
      </c>
      <c r="Q16" s="14">
        <f t="shared" si="8"/>
        <v>-2.6516729991828858E-2</v>
      </c>
      <c r="R16" s="14">
        <v>135.11000000000001</v>
      </c>
      <c r="S16" s="14">
        <f t="shared" si="9"/>
        <v>5.8441049745397544E-2</v>
      </c>
      <c r="T16" s="14">
        <v>21.475000000000001</v>
      </c>
      <c r="U16" s="14">
        <f t="shared" si="0"/>
        <v>-8.8884174798472548E-2</v>
      </c>
      <c r="V16" s="14">
        <v>57395.851562999997</v>
      </c>
      <c r="W16">
        <f t="shared" si="10"/>
        <v>-1.5221562526537502E-2</v>
      </c>
      <c r="Z16">
        <f t="shared" si="11"/>
        <v>-4.126115676699392E-2</v>
      </c>
      <c r="AA16">
        <f t="shared" si="12"/>
        <v>-7.9652788688138292E-3</v>
      </c>
      <c r="AB16">
        <f t="shared" si="13"/>
        <v>-6.2128698370855018E-3</v>
      </c>
      <c r="AC16">
        <f t="shared" si="14"/>
        <v>-2.7083008061094586E-2</v>
      </c>
    </row>
    <row r="17" spans="1:29" x14ac:dyDescent="0.75">
      <c r="A17" s="1">
        <v>39233.041250000002</v>
      </c>
      <c r="B17" s="14">
        <v>17.2425</v>
      </c>
      <c r="C17" s="14">
        <f t="shared" si="1"/>
        <v>0.16503378378378364</v>
      </c>
      <c r="D17" s="14">
        <v>29.3</v>
      </c>
      <c r="E17" s="14">
        <f t="shared" si="2"/>
        <v>0.17106314948041579</v>
      </c>
      <c r="F17" s="14">
        <v>31.316666999999999</v>
      </c>
      <c r="G17" s="14">
        <f t="shared" si="3"/>
        <v>2.1195651943525462E-2</v>
      </c>
      <c r="H17" s="14">
        <v>45.207808</v>
      </c>
      <c r="I17" s="14">
        <f t="shared" si="4"/>
        <v>9.2348598120904901E-2</v>
      </c>
      <c r="J17" s="14">
        <v>50.11</v>
      </c>
      <c r="K17" s="14">
        <f t="shared" si="5"/>
        <v>5.3616484440706325E-2</v>
      </c>
      <c r="L17" s="14">
        <v>37.229999999999997</v>
      </c>
      <c r="M17" s="14">
        <f t="shared" si="6"/>
        <v>3.1587697423108629E-2</v>
      </c>
      <c r="N17" s="14">
        <v>12</v>
      </c>
      <c r="O17" s="14">
        <f t="shared" si="7"/>
        <v>2.5062656641603454E-3</v>
      </c>
      <c r="P17" s="14">
        <v>13.712206999999999</v>
      </c>
      <c r="Q17" s="14">
        <f t="shared" si="8"/>
        <v>-6.1287640346058714E-2</v>
      </c>
      <c r="R17" s="14">
        <v>127.54</v>
      </c>
      <c r="S17" s="14">
        <f t="shared" si="9"/>
        <v>-5.602842128635932E-2</v>
      </c>
      <c r="T17" s="14">
        <v>20.32</v>
      </c>
      <c r="U17" s="14">
        <f t="shared" si="0"/>
        <v>-5.3783469150174623E-2</v>
      </c>
      <c r="V17" s="14">
        <v>57397.929687999997</v>
      </c>
      <c r="W17">
        <f t="shared" si="10"/>
        <v>-5.4905945218266972E-2</v>
      </c>
      <c r="Z17">
        <f t="shared" si="11"/>
        <v>4.8095488412383876E-2</v>
      </c>
      <c r="AA17">
        <f t="shared" si="12"/>
        <v>7.8843005595523638E-2</v>
      </c>
      <c r="AB17">
        <f t="shared" si="13"/>
        <v>-1.4359694133081557E-2</v>
      </c>
      <c r="AC17">
        <f t="shared" si="14"/>
        <v>-1.638782305005821E-2</v>
      </c>
    </row>
    <row r="18" spans="1:29" x14ac:dyDescent="0.75">
      <c r="A18" s="1">
        <v>39262.041250000002</v>
      </c>
      <c r="B18" s="14">
        <v>16.670000000000002</v>
      </c>
      <c r="C18" s="14">
        <f t="shared" si="1"/>
        <v>-3.320284181528188E-2</v>
      </c>
      <c r="D18" s="14">
        <v>27.96</v>
      </c>
      <c r="E18" s="14">
        <f t="shared" si="2"/>
        <v>-4.5733788395904473E-2</v>
      </c>
      <c r="F18" s="14">
        <v>31.666667</v>
      </c>
      <c r="G18" s="14">
        <f t="shared" si="3"/>
        <v>1.1176157411642906E-2</v>
      </c>
      <c r="H18" s="14">
        <v>45.584040999999999</v>
      </c>
      <c r="I18" s="14">
        <f t="shared" si="4"/>
        <v>8.3223013157371906E-3</v>
      </c>
      <c r="J18" s="14">
        <v>49.58</v>
      </c>
      <c r="K18" s="14">
        <f t="shared" si="5"/>
        <v>-1.057673119137903E-2</v>
      </c>
      <c r="L18" s="14">
        <v>35.299999999999997</v>
      </c>
      <c r="M18" s="14">
        <f t="shared" si="6"/>
        <v>-5.1839914047810853E-2</v>
      </c>
      <c r="N18" s="14">
        <v>12.5</v>
      </c>
      <c r="O18" s="14">
        <f t="shared" si="7"/>
        <v>4.1666666666666741E-2</v>
      </c>
      <c r="P18" s="14">
        <v>14.143257</v>
      </c>
      <c r="Q18" s="14">
        <f t="shared" si="8"/>
        <v>3.1435493936169401E-2</v>
      </c>
      <c r="R18" s="14">
        <v>128.86000000000001</v>
      </c>
      <c r="S18" s="14">
        <f t="shared" si="9"/>
        <v>1.0349694213580118E-2</v>
      </c>
      <c r="T18" s="14">
        <v>20.49</v>
      </c>
      <c r="U18" s="14">
        <f t="shared" si="0"/>
        <v>8.3661417322833387E-3</v>
      </c>
      <c r="V18" s="14">
        <v>56900.070312999997</v>
      </c>
      <c r="W18">
        <f t="shared" si="10"/>
        <v>9.3579179729317286E-3</v>
      </c>
      <c r="Z18">
        <f t="shared" si="11"/>
        <v>-1.1164203456601145E-2</v>
      </c>
      <c r="AA18">
        <f t="shared" si="12"/>
        <v>-2.107870307167237E-2</v>
      </c>
      <c r="AB18">
        <f t="shared" si="13"/>
        <v>7.3653362292444907E-3</v>
      </c>
      <c r="AC18">
        <f t="shared" si="14"/>
        <v>2.5491633858267335E-3</v>
      </c>
    </row>
    <row r="19" spans="1:29" x14ac:dyDescent="0.75">
      <c r="A19" s="1">
        <v>39294.041250000002</v>
      </c>
      <c r="B19" s="14">
        <v>15.345000000000001</v>
      </c>
      <c r="C19" s="14">
        <f t="shared" si="1"/>
        <v>-7.9484103179364163E-2</v>
      </c>
      <c r="D19" s="14">
        <v>24.92</v>
      </c>
      <c r="E19" s="14">
        <f t="shared" si="2"/>
        <v>-0.10872675250357655</v>
      </c>
      <c r="F19" s="14">
        <v>33.333333000000003</v>
      </c>
      <c r="G19" s="14">
        <f t="shared" si="3"/>
        <v>5.2631557340720558E-2</v>
      </c>
      <c r="H19" s="14">
        <v>45.601142000000003</v>
      </c>
      <c r="I19" s="14">
        <f t="shared" si="4"/>
        <v>3.7515322522652106E-4</v>
      </c>
      <c r="J19" s="14">
        <v>49.64</v>
      </c>
      <c r="K19" s="14">
        <f t="shared" si="5"/>
        <v>1.2101653892699904E-3</v>
      </c>
      <c r="L19" s="14">
        <v>39.950000000000003</v>
      </c>
      <c r="M19" s="14">
        <f t="shared" si="6"/>
        <v>0.1317280453257792</v>
      </c>
      <c r="N19" s="14">
        <v>14.55</v>
      </c>
      <c r="O19" s="14">
        <f t="shared" si="7"/>
        <v>0.16400000000000015</v>
      </c>
      <c r="P19" s="14">
        <v>13.118383</v>
      </c>
      <c r="Q19" s="14">
        <f t="shared" si="8"/>
        <v>-7.2463789634876874E-2</v>
      </c>
      <c r="R19" s="14">
        <v>144.04</v>
      </c>
      <c r="S19" s="14">
        <f t="shared" si="9"/>
        <v>0.11780226602514343</v>
      </c>
      <c r="T19" s="14">
        <v>19.96</v>
      </c>
      <c r="U19" s="14">
        <f t="shared" si="0"/>
        <v>-2.5866276232308305E-2</v>
      </c>
      <c r="V19" s="14">
        <v>56650.261719000002</v>
      </c>
      <c r="W19">
        <f t="shared" si="10"/>
        <v>4.5967994896417563E-2</v>
      </c>
      <c r="Z19">
        <f t="shared" si="11"/>
        <v>-7.4971880508334421E-2</v>
      </c>
      <c r="AA19">
        <f t="shared" si="12"/>
        <v>-5.0112160228898431E-2</v>
      </c>
      <c r="AB19">
        <f t="shared" si="13"/>
        <v>-1.6978265911451653E-2</v>
      </c>
      <c r="AC19">
        <f t="shared" si="14"/>
        <v>-7.8814543679843405E-3</v>
      </c>
    </row>
    <row r="20" spans="1:29" x14ac:dyDescent="0.75">
      <c r="A20" s="1">
        <v>39325.041250000002</v>
      </c>
      <c r="B20" s="14">
        <v>16.239999999999998</v>
      </c>
      <c r="C20" s="14">
        <f t="shared" si="1"/>
        <v>5.8325187357445296E-2</v>
      </c>
      <c r="D20" s="14">
        <v>25.01</v>
      </c>
      <c r="E20" s="14">
        <f t="shared" si="2"/>
        <v>3.6115569823433891E-3</v>
      </c>
      <c r="F20" s="14">
        <v>32.833333000000003</v>
      </c>
      <c r="G20" s="14">
        <f t="shared" si="3"/>
        <v>-1.5000000150000026E-2</v>
      </c>
      <c r="H20" s="14">
        <v>47.644770999999999</v>
      </c>
      <c r="I20" s="14">
        <f t="shared" si="4"/>
        <v>4.4815303090435687E-2</v>
      </c>
      <c r="J20" s="14">
        <v>44.99</v>
      </c>
      <c r="K20" s="14">
        <f t="shared" si="5"/>
        <v>-9.3674456083803315E-2</v>
      </c>
      <c r="L20" s="14">
        <v>39</v>
      </c>
      <c r="M20" s="14">
        <f t="shared" si="6"/>
        <v>-2.3779724655819789E-2</v>
      </c>
      <c r="N20" s="14">
        <v>14.2</v>
      </c>
      <c r="O20" s="14">
        <f t="shared" si="7"/>
        <v>-2.4054982817869552E-2</v>
      </c>
      <c r="P20" s="14">
        <v>14.179429000000001</v>
      </c>
      <c r="Q20" s="14">
        <f t="shared" si="8"/>
        <v>8.0882377042963416E-2</v>
      </c>
      <c r="R20" s="14">
        <v>147.33000000000001</v>
      </c>
      <c r="S20" s="14">
        <f t="shared" si="9"/>
        <v>2.2840877534018533E-2</v>
      </c>
      <c r="T20" s="14">
        <v>19.63</v>
      </c>
      <c r="U20" s="14">
        <f t="shared" si="0"/>
        <v>-1.6533066132264573E-2</v>
      </c>
      <c r="V20" s="14">
        <v>57071.558594000002</v>
      </c>
      <c r="W20">
        <f t="shared" si="10"/>
        <v>3.15390570087698E-3</v>
      </c>
      <c r="Z20">
        <f t="shared" si="11"/>
        <v>1.5577682303827382E-2</v>
      </c>
      <c r="AA20">
        <f t="shared" si="12"/>
        <v>1.6645666131620679E-3</v>
      </c>
      <c r="AB20">
        <f t="shared" si="13"/>
        <v>1.895074094116633E-2</v>
      </c>
      <c r="AC20">
        <f t="shared" si="14"/>
        <v>-5.0376252505010162E-3</v>
      </c>
    </row>
    <row r="21" spans="1:29" x14ac:dyDescent="0.75">
      <c r="A21" s="1">
        <v>39353.041250000002</v>
      </c>
      <c r="B21" s="14">
        <v>15.2675</v>
      </c>
      <c r="C21" s="14">
        <f t="shared" si="1"/>
        <v>-5.9883004926108319E-2</v>
      </c>
      <c r="D21" s="14">
        <v>23.05</v>
      </c>
      <c r="E21" s="14">
        <f t="shared" si="2"/>
        <v>-7.8368652538984396E-2</v>
      </c>
      <c r="F21" s="14">
        <v>32.666666999999997</v>
      </c>
      <c r="G21" s="14">
        <f t="shared" si="3"/>
        <v>-5.076121878945572E-3</v>
      </c>
      <c r="H21" s="14">
        <v>51.099274000000001</v>
      </c>
      <c r="I21" s="14">
        <f t="shared" si="4"/>
        <v>7.2505396237501074E-2</v>
      </c>
      <c r="J21" s="14">
        <v>42.92</v>
      </c>
      <c r="K21" s="14">
        <f t="shared" si="5"/>
        <v>-4.6010224494332119E-2</v>
      </c>
      <c r="L21" s="14">
        <v>35.04</v>
      </c>
      <c r="M21" s="14">
        <f t="shared" si="6"/>
        <v>-0.10153846153846158</v>
      </c>
      <c r="N21" s="14">
        <v>14</v>
      </c>
      <c r="O21" s="14">
        <f t="shared" si="7"/>
        <v>-1.4084507042253502E-2</v>
      </c>
      <c r="P21" s="14">
        <v>15.011385000000001</v>
      </c>
      <c r="Q21" s="14">
        <f t="shared" si="8"/>
        <v>5.867344869811042E-2</v>
      </c>
      <c r="R21" s="14">
        <v>183.99</v>
      </c>
      <c r="S21" s="14">
        <f t="shared" si="9"/>
        <v>0.2488291590307472</v>
      </c>
      <c r="T21" s="14">
        <v>20.09</v>
      </c>
      <c r="U21" s="14">
        <f t="shared" si="0"/>
        <v>2.3433520122261964E-2</v>
      </c>
      <c r="V21" s="14">
        <v>57154.21875</v>
      </c>
      <c r="W21">
        <f t="shared" si="10"/>
        <v>0.13613133957650458</v>
      </c>
      <c r="Z21">
        <f t="shared" si="11"/>
        <v>-1.5232729343997414E-2</v>
      </c>
      <c r="AA21">
        <f t="shared" si="12"/>
        <v>-3.6120111955217908E-2</v>
      </c>
      <c r="AB21">
        <f t="shared" si="13"/>
        <v>1.3747189029967272E-2</v>
      </c>
      <c r="AC21">
        <f t="shared" si="14"/>
        <v>7.1401935812532213E-3</v>
      </c>
    </row>
    <row r="22" spans="1:29" x14ac:dyDescent="0.75">
      <c r="A22" s="1">
        <v>39386.041250000002</v>
      </c>
      <c r="B22" s="14">
        <v>15.16</v>
      </c>
      <c r="C22" s="14">
        <f t="shared" si="1"/>
        <v>-7.0411003766169822E-3</v>
      </c>
      <c r="D22" s="14">
        <v>22.74</v>
      </c>
      <c r="E22" s="14">
        <f t="shared" si="2"/>
        <v>-1.3449023861171416E-2</v>
      </c>
      <c r="F22" s="14">
        <v>33.333333000000003</v>
      </c>
      <c r="G22" s="14">
        <f t="shared" si="3"/>
        <v>2.0408142648896677E-2</v>
      </c>
      <c r="H22" s="14">
        <v>47.935496999999998</v>
      </c>
      <c r="I22" s="14">
        <f t="shared" si="4"/>
        <v>-6.1914323870824517E-2</v>
      </c>
      <c r="J22" s="14">
        <v>49.16</v>
      </c>
      <c r="K22" s="14">
        <f t="shared" si="5"/>
        <v>0.1453867660764212</v>
      </c>
      <c r="L22" s="14">
        <v>37.770000000000003</v>
      </c>
      <c r="M22" s="14">
        <f t="shared" si="6"/>
        <v>7.7910958904109595E-2</v>
      </c>
      <c r="N22" s="14">
        <v>14.65</v>
      </c>
      <c r="O22" s="14">
        <f t="shared" si="7"/>
        <v>4.6428571428571486E-2</v>
      </c>
      <c r="P22" s="14">
        <v>13.799623</v>
      </c>
      <c r="Q22" s="14">
        <f t="shared" si="8"/>
        <v>-8.0722864679041995E-2</v>
      </c>
      <c r="R22" s="14">
        <v>255.93</v>
      </c>
      <c r="S22" s="14">
        <f t="shared" si="9"/>
        <v>0.39099951084298046</v>
      </c>
      <c r="T22" s="14">
        <v>21.61</v>
      </c>
      <c r="U22" s="14">
        <f t="shared" si="0"/>
        <v>7.5659532105525118E-2</v>
      </c>
      <c r="V22" s="14">
        <v>58260.878905999998</v>
      </c>
      <c r="W22">
        <f t="shared" si="10"/>
        <v>0.23332952147425279</v>
      </c>
      <c r="Z22">
        <f t="shared" si="11"/>
        <v>-2.0585628593599373E-3</v>
      </c>
      <c r="AA22">
        <f t="shared" si="12"/>
        <v>-6.1986550976139056E-3</v>
      </c>
      <c r="AB22">
        <f t="shared" si="13"/>
        <v>-1.8913367194299539E-2</v>
      </c>
      <c r="AC22">
        <f t="shared" si="14"/>
        <v>2.3053459432553505E-2</v>
      </c>
    </row>
    <row r="23" spans="1:29" x14ac:dyDescent="0.75">
      <c r="A23" s="1">
        <v>39416.041250000002</v>
      </c>
      <c r="B23" s="14">
        <v>15.06</v>
      </c>
      <c r="C23" s="14">
        <f t="shared" si="1"/>
        <v>-6.5963060686015096E-3</v>
      </c>
      <c r="D23" s="14">
        <v>21.86</v>
      </c>
      <c r="E23" s="14">
        <f t="shared" si="2"/>
        <v>-3.8698328935795945E-2</v>
      </c>
      <c r="F23" s="14">
        <v>37.333333000000003</v>
      </c>
      <c r="G23" s="14">
        <f t="shared" si="3"/>
        <v>0.12000000119999998</v>
      </c>
      <c r="H23" s="14">
        <v>42.822149000000003</v>
      </c>
      <c r="I23" s="14">
        <f t="shared" si="4"/>
        <v>-0.10667142973400268</v>
      </c>
      <c r="J23" s="14">
        <v>47.33</v>
      </c>
      <c r="K23" s="14">
        <f t="shared" si="5"/>
        <v>-3.7225386493083823E-2</v>
      </c>
      <c r="L23" s="14">
        <v>33.770000000000003</v>
      </c>
      <c r="M23" s="14">
        <f t="shared" si="6"/>
        <v>-0.10590415673815201</v>
      </c>
      <c r="N23" s="14">
        <v>14.65</v>
      </c>
      <c r="O23" s="14">
        <f t="shared" si="7"/>
        <v>0</v>
      </c>
      <c r="P23" s="14">
        <v>13.606705</v>
      </c>
      <c r="Q23" s="14">
        <f t="shared" si="8"/>
        <v>-1.3979947133338388E-2</v>
      </c>
      <c r="R23" s="14">
        <v>261.37</v>
      </c>
      <c r="S23" s="14">
        <f t="shared" si="9"/>
        <v>2.1255812136131036E-2</v>
      </c>
      <c r="T23" s="14">
        <v>19.72</v>
      </c>
      <c r="U23" s="14">
        <f t="shared" si="0"/>
        <v>-8.7459509486348952E-2</v>
      </c>
      <c r="V23" s="14">
        <v>58070.171875</v>
      </c>
      <c r="W23">
        <f t="shared" si="10"/>
        <v>-3.3101848675108958E-2</v>
      </c>
      <c r="Z23">
        <f t="shared" si="11"/>
        <v>-4.7760473960340062E-2</v>
      </c>
      <c r="AA23">
        <f t="shared" si="12"/>
        <v>-1.7836059806508351E-2</v>
      </c>
      <c r="AB23">
        <f t="shared" si="13"/>
        <v>-3.2755016133411844E-3</v>
      </c>
      <c r="AC23">
        <f t="shared" si="14"/>
        <v>-2.6648912540490528E-2</v>
      </c>
    </row>
    <row r="24" spans="1:29" x14ac:dyDescent="0.75">
      <c r="A24" s="1">
        <v>39447.041250000002</v>
      </c>
      <c r="B24" s="14">
        <v>16.260000000000002</v>
      </c>
      <c r="C24" s="14">
        <f t="shared" si="1"/>
        <v>7.9681274900398558E-2</v>
      </c>
      <c r="D24" s="14">
        <v>19.88</v>
      </c>
      <c r="E24" s="14">
        <f t="shared" si="2"/>
        <v>-9.0576395242451979E-2</v>
      </c>
      <c r="F24" s="14">
        <v>42.333333000000003</v>
      </c>
      <c r="G24" s="14">
        <f t="shared" si="3"/>
        <v>0.1339285726243622</v>
      </c>
      <c r="H24" s="14">
        <v>41.770406999999999</v>
      </c>
      <c r="I24" s="14">
        <f t="shared" si="4"/>
        <v>-2.4560701052158906E-2</v>
      </c>
      <c r="J24" s="14">
        <v>45.08</v>
      </c>
      <c r="K24" s="14">
        <f t="shared" si="5"/>
        <v>-4.7538559053454499E-2</v>
      </c>
      <c r="L24" s="14">
        <v>35.85</v>
      </c>
      <c r="M24" s="14">
        <f t="shared" si="6"/>
        <v>6.1593129997038698E-2</v>
      </c>
      <c r="N24" s="14">
        <v>15.2</v>
      </c>
      <c r="O24" s="14">
        <f t="shared" si="7"/>
        <v>3.7542662116040848E-2</v>
      </c>
      <c r="P24" s="14">
        <v>14.423590000000001</v>
      </c>
      <c r="Q24" s="14">
        <f t="shared" si="8"/>
        <v>6.003547515728469E-2</v>
      </c>
      <c r="R24" s="14">
        <v>229.97</v>
      </c>
      <c r="S24" s="14">
        <f t="shared" si="9"/>
        <v>-0.12013620537934733</v>
      </c>
      <c r="T24" s="14">
        <v>18.84</v>
      </c>
      <c r="U24" s="14">
        <f t="shared" si="0"/>
        <v>-4.4624746450304231E-2</v>
      </c>
      <c r="V24" s="14">
        <v>58342.871094000002</v>
      </c>
      <c r="W24">
        <f t="shared" si="10"/>
        <v>-8.2380475914825779E-2</v>
      </c>
      <c r="Z24">
        <f t="shared" si="11"/>
        <v>-4.1277508981302016E-2</v>
      </c>
      <c r="AA24">
        <f t="shared" si="12"/>
        <v>-4.1746660567246116E-2</v>
      </c>
      <c r="AB24">
        <f t="shared" si="13"/>
        <v>1.4066311829351804E-2</v>
      </c>
      <c r="AC24">
        <f t="shared" si="14"/>
        <v>-1.3597160243407701E-2</v>
      </c>
    </row>
    <row r="25" spans="1:29" x14ac:dyDescent="0.75">
      <c r="A25" s="1">
        <v>39478.041250000002</v>
      </c>
      <c r="B25" s="14">
        <v>16.175000000000001</v>
      </c>
      <c r="C25" s="14">
        <f t="shared" si="1"/>
        <v>-5.227552275522851E-3</v>
      </c>
      <c r="D25" s="14">
        <v>20.78</v>
      </c>
      <c r="E25" s="14">
        <f t="shared" si="2"/>
        <v>4.5271629778672162E-2</v>
      </c>
      <c r="F25" s="14">
        <v>40.666666999999997</v>
      </c>
      <c r="G25" s="14">
        <f t="shared" si="3"/>
        <v>-3.9370063302126668E-2</v>
      </c>
      <c r="H25" s="14">
        <v>39.641271000000003</v>
      </c>
      <c r="I25" s="14">
        <f t="shared" si="4"/>
        <v>-5.0972354662476627E-2</v>
      </c>
      <c r="J25" s="14">
        <v>44.66</v>
      </c>
      <c r="K25" s="14">
        <f t="shared" si="5"/>
        <v>-9.3167701863354768E-3</v>
      </c>
      <c r="L25" s="14">
        <v>28.88</v>
      </c>
      <c r="M25" s="14">
        <f t="shared" si="6"/>
        <v>-0.19442119944212</v>
      </c>
      <c r="N25" s="14">
        <v>15.2</v>
      </c>
      <c r="O25" s="14">
        <f t="shared" si="7"/>
        <v>0</v>
      </c>
      <c r="P25" s="14">
        <v>13.217855999999999</v>
      </c>
      <c r="Q25" s="14">
        <f t="shared" si="8"/>
        <v>-8.3594583595346328E-2</v>
      </c>
      <c r="R25" s="14">
        <v>249.99</v>
      </c>
      <c r="S25" s="14">
        <f t="shared" si="9"/>
        <v>8.7054833239118112E-2</v>
      </c>
      <c r="T25" s="14">
        <v>19.41</v>
      </c>
      <c r="U25" s="14">
        <f t="shared" si="0"/>
        <v>3.0254777070063632E-2</v>
      </c>
      <c r="V25" s="14">
        <v>58675.039062999997</v>
      </c>
      <c r="W25">
        <f t="shared" si="10"/>
        <v>5.8654805154590872E-2</v>
      </c>
      <c r="Z25">
        <f t="shared" si="11"/>
        <v>1.0498113801848742E-2</v>
      </c>
      <c r="AA25">
        <f t="shared" si="12"/>
        <v>2.0865694164989998E-2</v>
      </c>
      <c r="AB25">
        <f t="shared" si="13"/>
        <v>-1.9586210936389646E-2</v>
      </c>
      <c r="AC25">
        <f t="shared" si="14"/>
        <v>9.21863057324839E-3</v>
      </c>
    </row>
    <row r="26" spans="1:29" x14ac:dyDescent="0.75">
      <c r="A26" s="1">
        <v>39507.041250000002</v>
      </c>
      <c r="B26" s="14">
        <v>14.54</v>
      </c>
      <c r="C26" s="14">
        <f t="shared" si="1"/>
        <v>-0.10108191653786713</v>
      </c>
      <c r="D26" s="14">
        <v>20.66</v>
      </c>
      <c r="E26" s="14">
        <f t="shared" si="2"/>
        <v>-5.7747834456208791E-3</v>
      </c>
      <c r="F26" s="14">
        <v>40.916666999999997</v>
      </c>
      <c r="G26" s="14">
        <f t="shared" si="3"/>
        <v>6.1475409332167885E-3</v>
      </c>
      <c r="H26" s="14">
        <v>41.992725999999998</v>
      </c>
      <c r="I26" s="14">
        <f t="shared" si="4"/>
        <v>5.9318355357475649E-2</v>
      </c>
      <c r="J26" s="14">
        <v>42.97</v>
      </c>
      <c r="K26" s="14">
        <f t="shared" si="5"/>
        <v>-3.7841468875951634E-2</v>
      </c>
      <c r="L26" s="14">
        <v>30.13</v>
      </c>
      <c r="M26" s="14">
        <f t="shared" si="6"/>
        <v>4.3282548476454297E-2</v>
      </c>
      <c r="N26" s="14">
        <v>16</v>
      </c>
      <c r="O26" s="14">
        <f t="shared" si="7"/>
        <v>5.2631578947368363E-2</v>
      </c>
      <c r="P26" s="14">
        <v>13.332401000000001</v>
      </c>
      <c r="Q26" s="14">
        <f t="shared" si="8"/>
        <v>8.6659288768164977E-3</v>
      </c>
      <c r="R26" s="14">
        <v>258.06</v>
      </c>
      <c r="S26" s="14">
        <f t="shared" si="9"/>
        <v>3.2281291251650135E-2</v>
      </c>
      <c r="T26" s="14">
        <v>19.46</v>
      </c>
      <c r="U26" s="14">
        <f t="shared" si="0"/>
        <v>2.5759917568264346E-3</v>
      </c>
      <c r="V26" s="14">
        <v>58477.570312999997</v>
      </c>
      <c r="W26">
        <f t="shared" si="10"/>
        <v>1.7428641504238285E-2</v>
      </c>
      <c r="Z26">
        <f t="shared" si="11"/>
        <v>1.5373413405645711E-4</v>
      </c>
      <c r="AA26">
        <f t="shared" si="12"/>
        <v>-2.6615976900866631E-3</v>
      </c>
      <c r="AB26">
        <f t="shared" si="13"/>
        <v>2.0304271358381055E-3</v>
      </c>
      <c r="AC26">
        <f t="shared" si="14"/>
        <v>7.8490468830501466E-4</v>
      </c>
    </row>
    <row r="27" spans="1:29" x14ac:dyDescent="0.75">
      <c r="A27" s="1">
        <v>39538.041250000002</v>
      </c>
      <c r="B27" s="14">
        <v>16</v>
      </c>
      <c r="C27" s="14">
        <f t="shared" si="1"/>
        <v>0.10041265474552974</v>
      </c>
      <c r="D27" s="14">
        <v>19.760000000000002</v>
      </c>
      <c r="E27" s="14">
        <f t="shared" si="2"/>
        <v>-4.356243949661176E-2</v>
      </c>
      <c r="F27" s="14">
        <v>41.68</v>
      </c>
      <c r="G27" s="14">
        <f t="shared" si="3"/>
        <v>1.8655796182030171E-2</v>
      </c>
      <c r="H27" s="14">
        <v>41.146202000000002</v>
      </c>
      <c r="I27" s="14">
        <f t="shared" si="4"/>
        <v>-2.0158824649773699E-2</v>
      </c>
      <c r="J27" s="14">
        <v>46.14</v>
      </c>
      <c r="K27" s="14">
        <f t="shared" si="5"/>
        <v>7.3772399348382534E-2</v>
      </c>
      <c r="L27" s="14">
        <v>25.08</v>
      </c>
      <c r="M27" s="14">
        <f t="shared" si="6"/>
        <v>-0.16760703617656825</v>
      </c>
      <c r="N27" s="14">
        <v>15.8</v>
      </c>
      <c r="O27" s="14">
        <f t="shared" si="7"/>
        <v>-1.2499999999999956E-2</v>
      </c>
      <c r="P27" s="14">
        <v>14.230672999999999</v>
      </c>
      <c r="Q27" s="14">
        <f t="shared" si="8"/>
        <v>6.7375111204650784E-2</v>
      </c>
      <c r="R27" s="14">
        <v>321.79000000000002</v>
      </c>
      <c r="S27" s="14">
        <f t="shared" si="9"/>
        <v>0.24695807176625606</v>
      </c>
      <c r="T27" s="14">
        <v>22.53</v>
      </c>
      <c r="U27" s="14">
        <f t="shared" si="0"/>
        <v>0.15775950668037009</v>
      </c>
      <c r="V27" s="14">
        <v>58167.269530999998</v>
      </c>
      <c r="W27">
        <f t="shared" si="10"/>
        <v>0.20235878922331307</v>
      </c>
      <c r="Z27">
        <f t="shared" si="11"/>
        <v>4.3777381876770091E-2</v>
      </c>
      <c r="AA27">
        <f t="shared" si="12"/>
        <v>-2.0077928363988359E-2</v>
      </c>
      <c r="AB27">
        <f t="shared" si="13"/>
        <v>1.578598855524968E-2</v>
      </c>
      <c r="AC27">
        <f t="shared" si="14"/>
        <v>4.8069321685508773E-2</v>
      </c>
    </row>
    <row r="28" spans="1:29" x14ac:dyDescent="0.75">
      <c r="A28" s="1">
        <v>39568.041250000002</v>
      </c>
      <c r="B28" s="14">
        <v>16.79</v>
      </c>
      <c r="C28" s="14">
        <f t="shared" si="1"/>
        <v>4.9374999999999947E-2</v>
      </c>
      <c r="D28" s="14">
        <v>20.47</v>
      </c>
      <c r="E28" s="14">
        <f t="shared" si="2"/>
        <v>3.5931174089068652E-2</v>
      </c>
      <c r="F28" s="14">
        <v>40.9</v>
      </c>
      <c r="G28" s="14">
        <f t="shared" si="3"/>
        <v>-1.8714011516314799E-2</v>
      </c>
      <c r="H28" s="14">
        <v>36.674160999999998</v>
      </c>
      <c r="I28" s="14">
        <f t="shared" si="4"/>
        <v>-0.10868660490219739</v>
      </c>
      <c r="J28" s="14">
        <v>46.31</v>
      </c>
      <c r="K28" s="14">
        <f t="shared" si="5"/>
        <v>3.6844386649328431E-3</v>
      </c>
      <c r="L28" s="14">
        <v>28.89</v>
      </c>
      <c r="M28" s="14">
        <f t="shared" si="6"/>
        <v>0.15191387559808622</v>
      </c>
      <c r="N28" s="14">
        <v>15</v>
      </c>
      <c r="O28" s="14">
        <f t="shared" si="7"/>
        <v>-5.0632911392405111E-2</v>
      </c>
      <c r="P28" s="14">
        <v>14.996314</v>
      </c>
      <c r="Q28" s="14">
        <f t="shared" si="8"/>
        <v>5.3802163818956528E-2</v>
      </c>
      <c r="R28" s="14">
        <v>309.05</v>
      </c>
      <c r="S28" s="14">
        <f t="shared" si="9"/>
        <v>-3.9591037633239123E-2</v>
      </c>
      <c r="T28" s="14">
        <v>21.22</v>
      </c>
      <c r="U28" s="14">
        <f t="shared" si="0"/>
        <v>-5.8144695960941073E-2</v>
      </c>
      <c r="V28" s="14">
        <v>58320.480469000002</v>
      </c>
      <c r="W28">
        <f t="shared" si="10"/>
        <v>-4.8867866797090098E-2</v>
      </c>
      <c r="Z28">
        <f t="shared" si="11"/>
        <v>1.1449836261134504E-2</v>
      </c>
      <c r="AA28">
        <f t="shared" si="12"/>
        <v>1.656067813765174E-2</v>
      </c>
      <c r="AB28">
        <f t="shared" si="13"/>
        <v>1.2605846982781515E-2</v>
      </c>
      <c r="AC28">
        <f t="shared" si="14"/>
        <v>-1.7716688859298748E-2</v>
      </c>
    </row>
    <row r="29" spans="1:29" x14ac:dyDescent="0.75">
      <c r="A29" s="1">
        <v>39598.041250000002</v>
      </c>
      <c r="B29" s="14">
        <v>16.772500000000001</v>
      </c>
      <c r="C29" s="14">
        <f t="shared" si="1"/>
        <v>-1.0422870756401359E-3</v>
      </c>
      <c r="D29" s="14">
        <v>20.66</v>
      </c>
      <c r="E29" s="14">
        <f t="shared" si="2"/>
        <v>9.2818759159747355E-3</v>
      </c>
      <c r="F29" s="14">
        <v>37.9</v>
      </c>
      <c r="G29" s="14">
        <f t="shared" si="3"/>
        <v>-7.3349633251833746E-2</v>
      </c>
      <c r="H29" s="14">
        <v>31.244434999999999</v>
      </c>
      <c r="I29" s="14">
        <f t="shared" si="4"/>
        <v>-0.14805317564047338</v>
      </c>
      <c r="J29" s="14">
        <v>50.15</v>
      </c>
      <c r="K29" s="14">
        <f t="shared" si="5"/>
        <v>8.2919455841070855E-2</v>
      </c>
      <c r="L29" s="14">
        <v>31.02</v>
      </c>
      <c r="M29" s="14">
        <f t="shared" si="6"/>
        <v>7.3727933541017698E-2</v>
      </c>
      <c r="N29" s="14">
        <v>15</v>
      </c>
      <c r="O29" s="14">
        <f t="shared" si="7"/>
        <v>0</v>
      </c>
      <c r="P29" s="14">
        <v>14.619522</v>
      </c>
      <c r="Q29" s="14">
        <f t="shared" si="8"/>
        <v>-2.5125640874150812E-2</v>
      </c>
      <c r="R29" s="14">
        <v>304.45999999999998</v>
      </c>
      <c r="S29" s="14">
        <f t="shared" si="9"/>
        <v>-1.4851965701342951E-2</v>
      </c>
      <c r="T29" s="14">
        <v>22.81</v>
      </c>
      <c r="U29" s="14">
        <f t="shared" si="0"/>
        <v>7.4929311969839762E-2</v>
      </c>
      <c r="V29" s="14">
        <v>58319.699219000002</v>
      </c>
      <c r="W29">
        <f t="shared" si="10"/>
        <v>3.0038673134248406E-2</v>
      </c>
      <c r="Z29">
        <f t="shared" si="11"/>
        <v>2.1222040310069398E-2</v>
      </c>
      <c r="AA29">
        <f t="shared" si="12"/>
        <v>4.2780166096727558E-3</v>
      </c>
      <c r="AB29">
        <f t="shared" si="13"/>
        <v>-5.8869376568135351E-3</v>
      </c>
      <c r="AC29">
        <f t="shared" si="14"/>
        <v>2.2830961357210178E-2</v>
      </c>
    </row>
    <row r="30" spans="1:29" x14ac:dyDescent="0.75">
      <c r="A30" s="1">
        <v>39629.041250000002</v>
      </c>
      <c r="B30" s="14">
        <v>16.795000000000002</v>
      </c>
      <c r="C30" s="14">
        <f t="shared" si="1"/>
        <v>1.3414815918915135E-3</v>
      </c>
      <c r="D30" s="14">
        <v>17.940000000000001</v>
      </c>
      <c r="E30" s="14">
        <f t="shared" si="2"/>
        <v>-0.13165537270087124</v>
      </c>
      <c r="F30" s="14">
        <v>37.799999999999997</v>
      </c>
      <c r="G30" s="14">
        <f t="shared" si="3"/>
        <v>-2.6385224274406704E-3</v>
      </c>
      <c r="H30" s="14">
        <v>26.002827</v>
      </c>
      <c r="I30" s="14">
        <f t="shared" si="4"/>
        <v>-0.16776133093781342</v>
      </c>
      <c r="J30" s="14">
        <v>48.47</v>
      </c>
      <c r="K30" s="14">
        <f t="shared" si="5"/>
        <v>-3.3499501495513506E-2</v>
      </c>
      <c r="L30" s="14">
        <v>28.22</v>
      </c>
      <c r="M30" s="14">
        <f t="shared" si="6"/>
        <v>-9.0264345583494499E-2</v>
      </c>
      <c r="N30" s="14">
        <v>15</v>
      </c>
      <c r="O30" s="14">
        <f t="shared" si="7"/>
        <v>0</v>
      </c>
      <c r="P30" s="14">
        <v>12.645133</v>
      </c>
      <c r="Q30" s="14">
        <f t="shared" si="8"/>
        <v>-0.13505154272485798</v>
      </c>
      <c r="R30" s="14">
        <v>270.14999999999998</v>
      </c>
      <c r="S30" s="14">
        <f t="shared" si="9"/>
        <v>-0.11269132234119428</v>
      </c>
      <c r="T30" s="14">
        <v>20.440000000000001</v>
      </c>
      <c r="U30" s="14">
        <f t="shared" si="0"/>
        <v>-0.10390179745725547</v>
      </c>
      <c r="V30" s="14">
        <v>58462.789062999997</v>
      </c>
      <c r="W30">
        <f t="shared" si="10"/>
        <v>-0.10829655989922488</v>
      </c>
      <c r="Z30">
        <f t="shared" si="11"/>
        <v>-0.12398141542349153</v>
      </c>
      <c r="AA30">
        <f t="shared" si="12"/>
        <v>-6.0679961277831554E-2</v>
      </c>
      <c r="AB30">
        <f t="shared" si="13"/>
        <v>-3.1642576460434224E-2</v>
      </c>
      <c r="AC30">
        <f t="shared" si="14"/>
        <v>-3.1658877685225746E-2</v>
      </c>
    </row>
    <row r="31" spans="1:29" x14ac:dyDescent="0.75">
      <c r="A31" s="1">
        <v>39660.041250000002</v>
      </c>
      <c r="B31" s="14">
        <v>16.239999999999998</v>
      </c>
      <c r="C31" s="14">
        <f t="shared" si="1"/>
        <v>-3.3045549270616426E-2</v>
      </c>
      <c r="D31" s="14">
        <v>15.02</v>
      </c>
      <c r="E31" s="14">
        <f t="shared" si="2"/>
        <v>-0.16276477146042367</v>
      </c>
      <c r="F31" s="14">
        <v>37.799999999999997</v>
      </c>
      <c r="G31" s="14">
        <f t="shared" si="3"/>
        <v>0</v>
      </c>
      <c r="H31" s="14">
        <v>25.643695000000001</v>
      </c>
      <c r="I31" s="14">
        <f t="shared" si="4"/>
        <v>-1.381126752102757E-2</v>
      </c>
      <c r="J31" s="14">
        <v>43.46</v>
      </c>
      <c r="K31" s="14">
        <f t="shared" si="5"/>
        <v>-0.10336290488962241</v>
      </c>
      <c r="L31" s="14">
        <v>28.67</v>
      </c>
      <c r="M31" s="14">
        <f t="shared" si="6"/>
        <v>1.5946137491141155E-2</v>
      </c>
      <c r="N31" s="14">
        <v>14.5</v>
      </c>
      <c r="O31" s="14">
        <f t="shared" si="7"/>
        <v>-3.3333333333333326E-2</v>
      </c>
      <c r="P31" s="14">
        <v>13.033982</v>
      </c>
      <c r="Q31" s="14">
        <f t="shared" si="8"/>
        <v>3.075088257276537E-2</v>
      </c>
      <c r="R31" s="14">
        <v>267.02999999999997</v>
      </c>
      <c r="S31" s="14">
        <f t="shared" si="9"/>
        <v>-1.1549139367018291E-2</v>
      </c>
      <c r="T31" s="14">
        <v>20.41</v>
      </c>
      <c r="U31" s="14">
        <f t="shared" si="0"/>
        <v>-1.4677103718200302E-3</v>
      </c>
      <c r="V31" s="14">
        <v>58221.46875</v>
      </c>
      <c r="W31">
        <f t="shared" si="10"/>
        <v>-6.5084248694191604E-3</v>
      </c>
      <c r="Z31">
        <f t="shared" si="11"/>
        <v>-6.8260562729603902E-2</v>
      </c>
      <c r="AA31">
        <f t="shared" si="12"/>
        <v>-7.501828316610927E-2</v>
      </c>
      <c r="AB31">
        <f t="shared" si="13"/>
        <v>7.2049317867989267E-3</v>
      </c>
      <c r="AC31">
        <f t="shared" si="14"/>
        <v>-4.4721135029356324E-4</v>
      </c>
    </row>
    <row r="32" spans="1:29" x14ac:dyDescent="0.75">
      <c r="A32" s="1">
        <v>39689.041250000002</v>
      </c>
      <c r="B32" s="14">
        <v>17.137499999999999</v>
      </c>
      <c r="C32" s="14">
        <f t="shared" si="1"/>
        <v>5.5264778325123221E-2</v>
      </c>
      <c r="D32" s="14">
        <v>14.54</v>
      </c>
      <c r="E32" s="14">
        <f t="shared" si="2"/>
        <v>-3.1957390146471365E-2</v>
      </c>
      <c r="F32" s="14">
        <v>31.79</v>
      </c>
      <c r="G32" s="14">
        <f t="shared" si="3"/>
        <v>-0.15899470899470891</v>
      </c>
      <c r="H32" s="14">
        <v>25.079346000000001</v>
      </c>
      <c r="I32" s="14">
        <f t="shared" si="4"/>
        <v>-2.2007319927958902E-2</v>
      </c>
      <c r="J32" s="14">
        <v>41.43</v>
      </c>
      <c r="K32" s="14">
        <f t="shared" si="5"/>
        <v>-4.6709618039576628E-2</v>
      </c>
      <c r="L32" s="14">
        <v>29.05</v>
      </c>
      <c r="M32" s="14">
        <f t="shared" si="6"/>
        <v>1.32542727589815E-2</v>
      </c>
      <c r="N32" s="14">
        <v>14</v>
      </c>
      <c r="O32" s="14">
        <f t="shared" si="7"/>
        <v>-3.4482758620689613E-2</v>
      </c>
      <c r="P32" s="14">
        <v>13.642877</v>
      </c>
      <c r="Q32" s="14">
        <f t="shared" si="8"/>
        <v>4.6715961399977468E-2</v>
      </c>
      <c r="R32" s="14">
        <v>169.51</v>
      </c>
      <c r="S32" s="14">
        <f t="shared" si="9"/>
        <v>-0.36520241171403955</v>
      </c>
      <c r="T32" s="14">
        <v>18.765000000000001</v>
      </c>
      <c r="U32" s="14">
        <f t="shared" si="0"/>
        <v>-8.0597746202841769E-2</v>
      </c>
      <c r="V32" s="14">
        <v>58663.96875</v>
      </c>
      <c r="W32">
        <f t="shared" si="10"/>
        <v>-0.22290007895844066</v>
      </c>
      <c r="Z32">
        <f t="shared" si="11"/>
        <v>-2.8341744630499818E-2</v>
      </c>
      <c r="AA32">
        <f t="shared" si="12"/>
        <v>-1.4729161118508652E-2</v>
      </c>
      <c r="AB32">
        <f t="shared" si="13"/>
        <v>1.0945549756014722E-2</v>
      </c>
      <c r="AC32">
        <f t="shared" si="14"/>
        <v>-2.4558133268005888E-2</v>
      </c>
    </row>
    <row r="33" spans="1:29" x14ac:dyDescent="0.75">
      <c r="A33" s="1">
        <v>39721.041250000002</v>
      </c>
      <c r="B33" s="14">
        <v>17.182500000000001</v>
      </c>
      <c r="C33" s="14">
        <f t="shared" si="1"/>
        <v>2.6258205689277947E-3</v>
      </c>
      <c r="D33" s="14">
        <v>13.17</v>
      </c>
      <c r="E33" s="14">
        <f t="shared" si="2"/>
        <v>-9.4222833562585873E-2</v>
      </c>
      <c r="F33" s="14">
        <v>37</v>
      </c>
      <c r="G33" s="14">
        <f t="shared" si="3"/>
        <v>0.16388801509908779</v>
      </c>
      <c r="H33" s="14">
        <v>23.574414000000001</v>
      </c>
      <c r="I33" s="14">
        <f t="shared" si="4"/>
        <v>-6.0006827929245055E-2</v>
      </c>
      <c r="J33" s="14">
        <v>34.92</v>
      </c>
      <c r="K33" s="14">
        <f t="shared" si="5"/>
        <v>-0.15713251267197681</v>
      </c>
      <c r="L33" s="14">
        <v>22.1</v>
      </c>
      <c r="M33" s="14">
        <f t="shared" si="6"/>
        <v>-0.23924268502581758</v>
      </c>
      <c r="N33" s="14">
        <v>14</v>
      </c>
      <c r="O33" s="14">
        <f t="shared" si="7"/>
        <v>0</v>
      </c>
      <c r="P33" s="14">
        <v>14.215600999999999</v>
      </c>
      <c r="Q33" s="14">
        <f t="shared" si="8"/>
        <v>4.1979708532151827E-2</v>
      </c>
      <c r="R33" s="14">
        <v>130.36000000000001</v>
      </c>
      <c r="S33" s="14">
        <f t="shared" si="9"/>
        <v>-0.23095982537903359</v>
      </c>
      <c r="T33" s="14">
        <v>18.8</v>
      </c>
      <c r="U33" s="14">
        <f t="shared" si="0"/>
        <v>1.8651745270450437E-3</v>
      </c>
      <c r="V33" s="14">
        <v>59225.480469000002</v>
      </c>
      <c r="W33">
        <f t="shared" si="10"/>
        <v>-0.11454732542599427</v>
      </c>
      <c r="Z33">
        <f t="shared" si="11"/>
        <v>-3.3023139601522027E-2</v>
      </c>
      <c r="AA33">
        <f t="shared" si="12"/>
        <v>-4.3427303988995823E-2</v>
      </c>
      <c r="AB33">
        <f t="shared" si="13"/>
        <v>9.8358457090831734E-3</v>
      </c>
      <c r="AC33">
        <f t="shared" si="14"/>
        <v>5.6831867839062487E-4</v>
      </c>
    </row>
    <row r="34" spans="1:29" x14ac:dyDescent="0.75">
      <c r="A34" s="1">
        <v>39752.041250000002</v>
      </c>
      <c r="B34" s="14">
        <v>15.32</v>
      </c>
      <c r="C34" s="14">
        <f t="shared" si="1"/>
        <v>-0.10839516950385575</v>
      </c>
      <c r="D34" s="14">
        <v>6.75</v>
      </c>
      <c r="E34" s="14">
        <f t="shared" si="2"/>
        <v>-0.48747152619589973</v>
      </c>
      <c r="F34" s="14">
        <v>33</v>
      </c>
      <c r="G34" s="14">
        <f t="shared" si="3"/>
        <v>-0.10810810810810811</v>
      </c>
      <c r="H34" s="14">
        <v>19.940346000000002</v>
      </c>
      <c r="I34" s="14">
        <f t="shared" si="4"/>
        <v>-0.1541530576327369</v>
      </c>
      <c r="J34" s="14">
        <v>24.81</v>
      </c>
      <c r="K34" s="14">
        <f t="shared" si="5"/>
        <v>-0.28951890034364269</v>
      </c>
      <c r="L34" s="14">
        <v>8.3800000000000008</v>
      </c>
      <c r="M34" s="14">
        <f t="shared" si="6"/>
        <v>-0.62081447963800906</v>
      </c>
      <c r="N34" s="14">
        <v>12</v>
      </c>
      <c r="O34" s="14">
        <f t="shared" si="7"/>
        <v>-0.1428571428571429</v>
      </c>
      <c r="P34" s="14">
        <v>12.919437</v>
      </c>
      <c r="Q34" s="14">
        <f t="shared" si="8"/>
        <v>-9.117898005156444E-2</v>
      </c>
      <c r="R34" s="14">
        <v>115.55</v>
      </c>
      <c r="S34" s="14">
        <f t="shared" si="9"/>
        <v>-0.11360846885547726</v>
      </c>
      <c r="T34" s="14">
        <v>17.27</v>
      </c>
      <c r="U34" s="14">
        <f t="shared" si="0"/>
        <v>-8.1382978723404276E-2</v>
      </c>
      <c r="V34" s="14">
        <v>58132.398437999997</v>
      </c>
      <c r="W34">
        <f t="shared" si="10"/>
        <v>-9.7495723789440769E-2</v>
      </c>
      <c r="Z34">
        <f t="shared" si="11"/>
        <v>-0.27083625506679299</v>
      </c>
      <c r="AA34">
        <f t="shared" si="12"/>
        <v>-0.22467562642369018</v>
      </c>
      <c r="AB34">
        <f t="shared" si="13"/>
        <v>-2.1363235026081548E-2</v>
      </c>
      <c r="AC34">
        <f t="shared" si="14"/>
        <v>-2.4797393617021286E-2</v>
      </c>
    </row>
    <row r="35" spans="1:29" x14ac:dyDescent="0.75">
      <c r="A35" s="1">
        <v>39780.041250000002</v>
      </c>
      <c r="B35" s="14">
        <v>15.73</v>
      </c>
      <c r="C35" s="14">
        <f t="shared" si="1"/>
        <v>2.6762402088772896E-2</v>
      </c>
      <c r="D35" s="14">
        <v>6.74</v>
      </c>
      <c r="E35" s="14">
        <f t="shared" si="2"/>
        <v>-1.481481481481417E-3</v>
      </c>
      <c r="F35" s="14">
        <v>41.95</v>
      </c>
      <c r="G35" s="14">
        <f t="shared" si="3"/>
        <v>0.27121212121212124</v>
      </c>
      <c r="H35" s="14">
        <v>25.293113999999999</v>
      </c>
      <c r="I35" s="14">
        <f t="shared" si="4"/>
        <v>0.26843907322370431</v>
      </c>
      <c r="J35" s="14">
        <v>21.41</v>
      </c>
      <c r="K35" s="14">
        <f t="shared" si="5"/>
        <v>-0.13704151551793631</v>
      </c>
      <c r="L35" s="14">
        <v>6.5</v>
      </c>
      <c r="M35" s="14">
        <f t="shared" si="6"/>
        <v>-0.2243436754176612</v>
      </c>
      <c r="N35" s="14">
        <v>12.5</v>
      </c>
      <c r="O35" s="14">
        <f t="shared" si="7"/>
        <v>4.1666666666666741E-2</v>
      </c>
      <c r="P35" s="14">
        <v>12.65719</v>
      </c>
      <c r="Q35" s="14">
        <f t="shared" si="8"/>
        <v>-2.0298639948474584E-2</v>
      </c>
      <c r="R35" s="14">
        <v>115.47</v>
      </c>
      <c r="S35" s="14">
        <f t="shared" si="9"/>
        <v>-6.9234097793158256E-4</v>
      </c>
      <c r="T35" s="14">
        <v>18.36</v>
      </c>
      <c r="U35" s="14">
        <f t="shared" si="0"/>
        <v>6.3115228720324268E-2</v>
      </c>
      <c r="V35" s="14">
        <v>58647.519530999998</v>
      </c>
      <c r="W35">
        <f t="shared" si="10"/>
        <v>3.1211443871196343E-2</v>
      </c>
      <c r="Z35">
        <f t="shared" si="11"/>
        <v>1.3792424036340425E-2</v>
      </c>
      <c r="AA35">
        <f t="shared" si="12"/>
        <v>-6.828148148147851E-4</v>
      </c>
      <c r="AB35">
        <f t="shared" si="13"/>
        <v>-4.7559713399275951E-3</v>
      </c>
      <c r="AC35">
        <f t="shared" si="14"/>
        <v>1.9231210191082804E-2</v>
      </c>
    </row>
    <row r="36" spans="1:29" x14ac:dyDescent="0.75">
      <c r="A36" s="1">
        <v>39813.041250000002</v>
      </c>
      <c r="B36" s="14">
        <v>14.58</v>
      </c>
      <c r="C36" s="14">
        <f t="shared" si="1"/>
        <v>-7.3108709472345823E-2</v>
      </c>
      <c r="D36" s="14">
        <v>8.93</v>
      </c>
      <c r="E36" s="14">
        <f t="shared" si="2"/>
        <v>0.32492581602373871</v>
      </c>
      <c r="F36" s="14">
        <v>41.94</v>
      </c>
      <c r="G36" s="14">
        <f t="shared" si="3"/>
        <v>-2.3837902264611799E-4</v>
      </c>
      <c r="H36" s="14">
        <v>26.900655</v>
      </c>
      <c r="I36" s="14">
        <f t="shared" si="4"/>
        <v>6.3556468373170638E-2</v>
      </c>
      <c r="J36" s="14">
        <v>24.88</v>
      </c>
      <c r="K36" s="14">
        <f t="shared" si="5"/>
        <v>0.16207379729098537</v>
      </c>
      <c r="L36" s="14">
        <v>7</v>
      </c>
      <c r="M36" s="14">
        <f t="shared" si="6"/>
        <v>7.6923076923076872E-2</v>
      </c>
      <c r="N36" s="14">
        <v>12.5</v>
      </c>
      <c r="O36" s="14">
        <f t="shared" si="7"/>
        <v>0</v>
      </c>
      <c r="P36" s="14">
        <v>13.730293</v>
      </c>
      <c r="Q36" s="14">
        <f t="shared" si="8"/>
        <v>8.4782088283418267E-2</v>
      </c>
      <c r="R36" s="14">
        <v>168.73</v>
      </c>
      <c r="S36" s="14">
        <f t="shared" si="9"/>
        <v>0.46124534511128434</v>
      </c>
      <c r="T36" s="14">
        <v>18.5</v>
      </c>
      <c r="U36" s="14">
        <f t="shared" si="0"/>
        <v>7.625272331154731E-3</v>
      </c>
      <c r="V36" s="14">
        <v>59151.679687999997</v>
      </c>
      <c r="W36">
        <f t="shared" si="10"/>
        <v>0.23443530872121954</v>
      </c>
      <c r="Z36">
        <f t="shared" si="11"/>
        <v>0.17194617236944892</v>
      </c>
      <c r="AA36">
        <f t="shared" si="12"/>
        <v>0.14975830860534117</v>
      </c>
      <c r="AB36">
        <f t="shared" si="13"/>
        <v>1.9864443284804901E-2</v>
      </c>
      <c r="AC36">
        <f t="shared" si="14"/>
        <v>2.3234204793028466E-3</v>
      </c>
    </row>
    <row r="37" spans="1:29" x14ac:dyDescent="0.75">
      <c r="A37" s="1">
        <v>39843.041250000002</v>
      </c>
      <c r="B37" s="14">
        <v>12.852499999999999</v>
      </c>
      <c r="C37" s="14">
        <f t="shared" si="1"/>
        <v>-0.11848422496570654</v>
      </c>
      <c r="D37" s="14">
        <v>7.94</v>
      </c>
      <c r="E37" s="14">
        <f t="shared" si="2"/>
        <v>-0.11086226203807381</v>
      </c>
      <c r="F37" s="14">
        <v>44.99</v>
      </c>
      <c r="G37" s="14">
        <f t="shared" si="3"/>
        <v>7.2722937529804632E-2</v>
      </c>
      <c r="H37" s="14">
        <v>22.881803000000001</v>
      </c>
      <c r="I37" s="14">
        <f t="shared" si="4"/>
        <v>-0.14939606489135671</v>
      </c>
      <c r="J37" s="14">
        <v>18.93</v>
      </c>
      <c r="K37" s="14">
        <f t="shared" si="5"/>
        <v>-0.23914790996784563</v>
      </c>
      <c r="L37" s="14">
        <v>6.22</v>
      </c>
      <c r="M37" s="14">
        <f t="shared" si="6"/>
        <v>-0.11142857142857143</v>
      </c>
      <c r="N37" s="14">
        <v>12.3</v>
      </c>
      <c r="O37" s="14">
        <f t="shared" si="7"/>
        <v>-1.5999999999999903E-2</v>
      </c>
      <c r="P37" s="14">
        <v>13.986511999999999</v>
      </c>
      <c r="Q37" s="14">
        <f t="shared" si="8"/>
        <v>1.8660854506163727E-2</v>
      </c>
      <c r="R37" s="14">
        <v>128.91999999999999</v>
      </c>
      <c r="S37" s="14">
        <f t="shared" si="9"/>
        <v>-0.23593907426065319</v>
      </c>
      <c r="T37" s="14">
        <v>14.98</v>
      </c>
      <c r="U37" s="14">
        <f t="shared" si="0"/>
        <v>-0.19027027027027021</v>
      </c>
      <c r="V37" s="14">
        <v>58708.859375</v>
      </c>
      <c r="W37">
        <f t="shared" si="10"/>
        <v>-0.2131046722654617</v>
      </c>
      <c r="Z37">
        <f t="shared" si="11"/>
        <v>-0.10469952971390539</v>
      </c>
      <c r="AA37">
        <f t="shared" si="12"/>
        <v>-5.1096416573348215E-2</v>
      </c>
      <c r="AB37">
        <f t="shared" si="13"/>
        <v>4.3722382107941613E-3</v>
      </c>
      <c r="AC37">
        <f t="shared" si="14"/>
        <v>-5.7975351351351338E-2</v>
      </c>
    </row>
    <row r="38" spans="1:29" x14ac:dyDescent="0.75">
      <c r="A38" s="1">
        <v>39871.041250000002</v>
      </c>
      <c r="B38" s="14">
        <v>10.7575</v>
      </c>
      <c r="C38" s="14">
        <f t="shared" si="1"/>
        <v>-0.16300330674965957</v>
      </c>
      <c r="D38" s="14">
        <v>5.78</v>
      </c>
      <c r="E38" s="14">
        <f t="shared" si="2"/>
        <v>-0.27204030226700249</v>
      </c>
      <c r="F38" s="14">
        <v>40</v>
      </c>
      <c r="G38" s="14">
        <f t="shared" si="3"/>
        <v>-0.11091353634140921</v>
      </c>
      <c r="H38" s="14">
        <v>22.095134000000002</v>
      </c>
      <c r="I38" s="14">
        <f t="shared" si="4"/>
        <v>-3.4379677160930044E-2</v>
      </c>
      <c r="J38" s="14">
        <v>16.09</v>
      </c>
      <c r="K38" s="14">
        <f t="shared" si="5"/>
        <v>-0.15002641310089804</v>
      </c>
      <c r="L38" s="14">
        <v>4.9000000000000004</v>
      </c>
      <c r="M38" s="14">
        <f t="shared" si="6"/>
        <v>-0.21221864951768477</v>
      </c>
      <c r="N38" s="14">
        <v>11.85</v>
      </c>
      <c r="O38" s="14">
        <f t="shared" si="7"/>
        <v>-3.6585365853658569E-2</v>
      </c>
      <c r="P38" s="14">
        <v>14.227658</v>
      </c>
      <c r="Q38" s="14">
        <f t="shared" si="8"/>
        <v>1.7241325070896929E-2</v>
      </c>
      <c r="R38" s="14">
        <v>134.24</v>
      </c>
      <c r="S38" s="14">
        <f t="shared" si="9"/>
        <v>4.126590133416097E-2</v>
      </c>
      <c r="T38" s="14">
        <v>14.2</v>
      </c>
      <c r="U38" s="14">
        <f t="shared" si="0"/>
        <v>-5.2069425901201671E-2</v>
      </c>
      <c r="V38" s="14">
        <v>58865.03125</v>
      </c>
      <c r="W38">
        <f t="shared" si="10"/>
        <v>-5.4017622835203505E-3</v>
      </c>
      <c r="Z38">
        <f t="shared" si="11"/>
        <v>-0.13720928692284642</v>
      </c>
      <c r="AA38">
        <f t="shared" si="12"/>
        <v>-0.12538337531486143</v>
      </c>
      <c r="AB38">
        <f t="shared" si="13"/>
        <v>4.039642464111151E-3</v>
      </c>
      <c r="AC38">
        <f t="shared" si="14"/>
        <v>-1.5865554072096149E-2</v>
      </c>
    </row>
    <row r="39" spans="1:29" x14ac:dyDescent="0.75">
      <c r="A39" s="1">
        <v>39903.041250000002</v>
      </c>
      <c r="B39" s="14">
        <v>13.15</v>
      </c>
      <c r="C39" s="14">
        <f t="shared" si="1"/>
        <v>0.22240297466883563</v>
      </c>
      <c r="D39" s="14">
        <v>6.27</v>
      </c>
      <c r="E39" s="14">
        <f t="shared" si="2"/>
        <v>8.4775086505190167E-2</v>
      </c>
      <c r="F39" s="14">
        <v>40</v>
      </c>
      <c r="G39" s="14">
        <f t="shared" si="3"/>
        <v>0</v>
      </c>
      <c r="H39" s="14">
        <v>22.035278999999999</v>
      </c>
      <c r="I39" s="14">
        <f t="shared" si="4"/>
        <v>-2.7089675038858285E-3</v>
      </c>
      <c r="J39" s="14">
        <v>18.829999999999998</v>
      </c>
      <c r="K39" s="14">
        <f t="shared" si="5"/>
        <v>0.17029210689869467</v>
      </c>
      <c r="L39" s="14">
        <v>5.31</v>
      </c>
      <c r="M39" s="14">
        <f t="shared" si="6"/>
        <v>8.3673469387754995E-2</v>
      </c>
      <c r="N39" s="14">
        <v>13</v>
      </c>
      <c r="O39" s="14">
        <f t="shared" si="7"/>
        <v>9.704641350210963E-2</v>
      </c>
      <c r="P39" s="14">
        <v>13.826752000000001</v>
      </c>
      <c r="Q39" s="14">
        <f t="shared" si="8"/>
        <v>-2.8177933430786672E-2</v>
      </c>
      <c r="R39" s="14">
        <v>148.16999999999999</v>
      </c>
      <c r="S39" s="14">
        <f t="shared" si="9"/>
        <v>0.1037693682955898</v>
      </c>
      <c r="T39" s="14">
        <v>16.535</v>
      </c>
      <c r="U39" s="14">
        <f t="shared" si="0"/>
        <v>0.16443661971831003</v>
      </c>
      <c r="V39" s="14">
        <v>59747.878905999998</v>
      </c>
      <c r="W39">
        <f t="shared" si="10"/>
        <v>0.13410299400694992</v>
      </c>
      <c r="Z39">
        <f t="shared" si="11"/>
        <v>8.2574585595577898E-2</v>
      </c>
      <c r="AA39">
        <f t="shared" si="12"/>
        <v>3.9072837370242149E-2</v>
      </c>
      <c r="AB39">
        <f t="shared" si="13"/>
        <v>-6.6020898028333174E-3</v>
      </c>
      <c r="AC39">
        <f t="shared" si="14"/>
        <v>5.0103838028169069E-2</v>
      </c>
    </row>
    <row r="40" spans="1:29" x14ac:dyDescent="0.75">
      <c r="A40" s="1">
        <v>39933.041250000002</v>
      </c>
      <c r="B40" s="14">
        <v>15.6075</v>
      </c>
      <c r="C40" s="14">
        <f t="shared" si="1"/>
        <v>0.18688212927756642</v>
      </c>
      <c r="D40" s="14">
        <v>7.19</v>
      </c>
      <c r="E40" s="14">
        <f t="shared" si="2"/>
        <v>0.14673046251993638</v>
      </c>
      <c r="F40" s="14">
        <v>40</v>
      </c>
      <c r="G40" s="14">
        <f t="shared" si="3"/>
        <v>0</v>
      </c>
      <c r="H40" s="14">
        <v>23.976299000000001</v>
      </c>
      <c r="I40" s="14">
        <f t="shared" si="4"/>
        <v>8.8086926423758927E-2</v>
      </c>
      <c r="J40" s="14">
        <v>21.7</v>
      </c>
      <c r="K40" s="14">
        <f t="shared" si="5"/>
        <v>0.15241635687732358</v>
      </c>
      <c r="L40" s="14">
        <v>8.3800000000000008</v>
      </c>
      <c r="M40" s="14">
        <f t="shared" si="6"/>
        <v>0.57815442561205299</v>
      </c>
      <c r="N40" s="14">
        <v>13.5</v>
      </c>
      <c r="O40" s="14">
        <f t="shared" si="7"/>
        <v>3.8461538461538547E-2</v>
      </c>
      <c r="P40" s="14">
        <v>15.044543000000001</v>
      </c>
      <c r="Q40" s="14">
        <f t="shared" si="8"/>
        <v>8.8074986808181599E-2</v>
      </c>
      <c r="R40" s="14">
        <v>150.47</v>
      </c>
      <c r="S40" s="14">
        <f t="shared" si="9"/>
        <v>1.5522710400216022E-2</v>
      </c>
      <c r="T40" s="14">
        <v>18.82</v>
      </c>
      <c r="U40" s="14">
        <f t="shared" si="0"/>
        <v>0.13819171454490475</v>
      </c>
      <c r="V40" s="14">
        <v>59651.570312999997</v>
      </c>
      <c r="W40">
        <f t="shared" si="10"/>
        <v>7.6857212472560388E-2</v>
      </c>
      <c r="Z40">
        <f t="shared" si="11"/>
        <v>0.13037105500642809</v>
      </c>
      <c r="AA40">
        <f t="shared" si="12"/>
        <v>6.7628070175438676E-2</v>
      </c>
      <c r="AB40">
        <f t="shared" si="13"/>
        <v>2.0635969409156948E-2</v>
      </c>
      <c r="AC40">
        <f t="shared" si="14"/>
        <v>4.2107015421832483E-2</v>
      </c>
    </row>
    <row r="41" spans="1:29" x14ac:dyDescent="0.75">
      <c r="A41" s="1">
        <v>39962.041250000002</v>
      </c>
      <c r="B41" s="14">
        <v>17.4725</v>
      </c>
      <c r="C41" s="14">
        <f t="shared" si="1"/>
        <v>0.11949383309306416</v>
      </c>
      <c r="D41" s="14">
        <v>9.2899999999999991</v>
      </c>
      <c r="E41" s="14">
        <f t="shared" si="2"/>
        <v>0.29207232267037542</v>
      </c>
      <c r="F41" s="14">
        <v>44</v>
      </c>
      <c r="G41" s="14">
        <f t="shared" si="3"/>
        <v>0.10000000000000009</v>
      </c>
      <c r="H41" s="14">
        <v>23.582965000000002</v>
      </c>
      <c r="I41" s="14">
        <f t="shared" si="4"/>
        <v>-1.640511740364925E-2</v>
      </c>
      <c r="J41" s="14">
        <v>31.25</v>
      </c>
      <c r="K41" s="14">
        <f t="shared" si="5"/>
        <v>0.44009216589861766</v>
      </c>
      <c r="L41" s="14">
        <v>14.46</v>
      </c>
      <c r="M41" s="14">
        <f t="shared" si="6"/>
        <v>0.72553699284009543</v>
      </c>
      <c r="N41" s="14">
        <v>13</v>
      </c>
      <c r="O41" s="14">
        <f t="shared" si="7"/>
        <v>-3.703703703703709E-2</v>
      </c>
      <c r="P41" s="14">
        <v>15.345976</v>
      </c>
      <c r="Q41" s="14">
        <f t="shared" si="8"/>
        <v>2.0036035657580165E-2</v>
      </c>
      <c r="R41" s="14">
        <v>199.81</v>
      </c>
      <c r="S41" s="14">
        <f t="shared" si="9"/>
        <v>0.32790589486276334</v>
      </c>
      <c r="T41" s="14">
        <v>19.34</v>
      </c>
      <c r="U41" s="14">
        <f t="shared" si="0"/>
        <v>2.763018065887346E-2</v>
      </c>
      <c r="V41" s="14">
        <v>59867.621094000002</v>
      </c>
      <c r="W41">
        <f t="shared" si="10"/>
        <v>0.1777680377608184</v>
      </c>
      <c r="Z41">
        <f t="shared" si="11"/>
        <v>0.1477294927201058</v>
      </c>
      <c r="AA41">
        <f t="shared" si="12"/>
        <v>0.13461613351877602</v>
      </c>
      <c r="AB41">
        <f t="shared" si="13"/>
        <v>4.6944431545710326E-3</v>
      </c>
      <c r="AC41">
        <f t="shared" si="14"/>
        <v>8.4189160467587447E-3</v>
      </c>
    </row>
    <row r="42" spans="1:29" x14ac:dyDescent="0.75">
      <c r="A42" s="1">
        <v>39994.041250000002</v>
      </c>
      <c r="B42" s="14">
        <v>17.4925</v>
      </c>
      <c r="C42" s="14">
        <f t="shared" si="1"/>
        <v>1.1446558878236424E-3</v>
      </c>
      <c r="D42" s="14">
        <v>9.02</v>
      </c>
      <c r="E42" s="14">
        <f t="shared" si="2"/>
        <v>-2.906350914962319E-2</v>
      </c>
      <c r="F42" s="14">
        <v>42</v>
      </c>
      <c r="G42" s="14">
        <f t="shared" si="3"/>
        <v>-4.5454545454545414E-2</v>
      </c>
      <c r="H42" s="14">
        <v>28.764717999999998</v>
      </c>
      <c r="I42" s="14">
        <f t="shared" si="4"/>
        <v>0.21972440700310569</v>
      </c>
      <c r="J42" s="14">
        <v>32.049999999999997</v>
      </c>
      <c r="K42" s="14">
        <f t="shared" si="5"/>
        <v>2.5599999999999845E-2</v>
      </c>
      <c r="L42" s="14">
        <v>14.02</v>
      </c>
      <c r="M42" s="14">
        <f t="shared" si="6"/>
        <v>-3.042876901798075E-2</v>
      </c>
      <c r="N42" s="14">
        <v>14.4</v>
      </c>
      <c r="O42" s="14">
        <f t="shared" si="7"/>
        <v>0.10769230769230775</v>
      </c>
      <c r="P42" s="14">
        <v>15.21636</v>
      </c>
      <c r="Q42" s="14">
        <f t="shared" si="8"/>
        <v>-8.4462532718675432E-3</v>
      </c>
      <c r="R42" s="14">
        <v>210.75</v>
      </c>
      <c r="S42" s="14">
        <f t="shared" si="9"/>
        <v>5.475201441369304E-2</v>
      </c>
      <c r="T42" s="14">
        <v>19.48</v>
      </c>
      <c r="U42" s="14">
        <f t="shared" si="0"/>
        <v>7.2388831437435464E-3</v>
      </c>
      <c r="V42" s="14">
        <v>60479.761719000002</v>
      </c>
      <c r="W42">
        <f t="shared" si="10"/>
        <v>3.0995448778718293E-2</v>
      </c>
      <c r="Z42">
        <f t="shared" si="11"/>
        <v>-1.3168640814761233E-2</v>
      </c>
      <c r="AA42">
        <f t="shared" si="12"/>
        <v>-1.3395371367061327E-2</v>
      </c>
      <c r="AB42">
        <f t="shared" si="13"/>
        <v>-1.9789571415985653E-3</v>
      </c>
      <c r="AC42">
        <f t="shared" si="14"/>
        <v>2.2056876938986586E-3</v>
      </c>
    </row>
    <row r="43" spans="1:29" x14ac:dyDescent="0.75">
      <c r="A43" s="1">
        <v>40025.041250000002</v>
      </c>
      <c r="B43" s="14">
        <v>18.47</v>
      </c>
      <c r="C43" s="14">
        <f t="shared" si="1"/>
        <v>5.5881091896527124E-2</v>
      </c>
      <c r="D43" s="14">
        <v>9.08</v>
      </c>
      <c r="E43" s="14">
        <f t="shared" si="2"/>
        <v>6.6518847006651338E-3</v>
      </c>
      <c r="F43" s="14">
        <v>42</v>
      </c>
      <c r="G43" s="14">
        <f t="shared" si="3"/>
        <v>0</v>
      </c>
      <c r="H43" s="14">
        <v>31.706175999999999</v>
      </c>
      <c r="I43" s="14">
        <f t="shared" si="4"/>
        <v>0.10225923299508799</v>
      </c>
      <c r="J43" s="14">
        <v>32.57</v>
      </c>
      <c r="K43" s="14">
        <f t="shared" si="5"/>
        <v>1.6224648985959433E-2</v>
      </c>
      <c r="L43" s="14">
        <v>19.22</v>
      </c>
      <c r="M43" s="14">
        <f t="shared" si="6"/>
        <v>0.37089871611982872</v>
      </c>
      <c r="N43" s="14">
        <v>15.43</v>
      </c>
      <c r="O43" s="14">
        <f t="shared" si="7"/>
        <v>7.1527777777777635E-2</v>
      </c>
      <c r="P43" s="14">
        <v>16.569796</v>
      </c>
      <c r="Q43" s="14">
        <f t="shared" si="8"/>
        <v>8.8946108004805291E-2</v>
      </c>
      <c r="R43" s="14">
        <v>210.1</v>
      </c>
      <c r="S43" s="14">
        <f t="shared" si="9"/>
        <v>-3.0842230130486703E-3</v>
      </c>
      <c r="T43" s="14">
        <v>22.475000000000001</v>
      </c>
      <c r="U43" s="14">
        <f t="shared" si="0"/>
        <v>0.15374743326488716</v>
      </c>
      <c r="V43" s="14">
        <v>60649.761719000002</v>
      </c>
      <c r="W43">
        <f t="shared" si="10"/>
        <v>7.5331605125919243E-2</v>
      </c>
      <c r="Z43">
        <f t="shared" si="11"/>
        <v>7.0752769679873567E-2</v>
      </c>
      <c r="AA43">
        <f t="shared" si="12"/>
        <v>3.0658536585365598E-3</v>
      </c>
      <c r="AB43">
        <f t="shared" si="13"/>
        <v>2.084007310552588E-2</v>
      </c>
      <c r="AC43">
        <f t="shared" si="14"/>
        <v>4.6846842915811121E-2</v>
      </c>
    </row>
    <row r="44" spans="1:29" x14ac:dyDescent="0.75">
      <c r="A44" s="1">
        <v>40056.041250000002</v>
      </c>
      <c r="B44" s="14">
        <v>19.41</v>
      </c>
      <c r="C44" s="14">
        <f t="shared" si="1"/>
        <v>5.0893340552246924E-2</v>
      </c>
      <c r="D44" s="14">
        <v>12.91</v>
      </c>
      <c r="E44" s="14">
        <f t="shared" si="2"/>
        <v>0.42180616740088106</v>
      </c>
      <c r="F44" s="14">
        <v>34.99</v>
      </c>
      <c r="G44" s="14">
        <f t="shared" si="3"/>
        <v>-0.16690476190476189</v>
      </c>
      <c r="H44" s="14">
        <v>29.825011</v>
      </c>
      <c r="I44" s="14">
        <f t="shared" si="4"/>
        <v>-5.9331185192436964E-2</v>
      </c>
      <c r="J44" s="14">
        <v>39.19</v>
      </c>
      <c r="K44" s="14">
        <f t="shared" si="5"/>
        <v>0.20325452870739946</v>
      </c>
      <c r="L44" s="14">
        <v>20.5</v>
      </c>
      <c r="M44" s="14">
        <f t="shared" si="6"/>
        <v>6.6597294484911584E-2</v>
      </c>
      <c r="N44" s="14">
        <v>16</v>
      </c>
      <c r="O44" s="14">
        <f t="shared" si="7"/>
        <v>3.6941023979261134E-2</v>
      </c>
      <c r="P44" s="14">
        <v>17.335436999999999</v>
      </c>
      <c r="Q44" s="14">
        <f t="shared" si="8"/>
        <v>4.6207026326696932E-2</v>
      </c>
      <c r="R44" s="14">
        <v>207.1</v>
      </c>
      <c r="S44" s="14">
        <f t="shared" si="9"/>
        <v>-1.4278914802475007E-2</v>
      </c>
      <c r="T44" s="14">
        <v>23.66</v>
      </c>
      <c r="U44" s="14">
        <f t="shared" si="0"/>
        <v>5.2725250278086611E-2</v>
      </c>
      <c r="V44" s="14">
        <v>60679.53125</v>
      </c>
      <c r="W44">
        <f t="shared" si="10"/>
        <v>1.9223167737805802E-2</v>
      </c>
      <c r="Z44">
        <f t="shared" si="11"/>
        <v>0.22130215258314417</v>
      </c>
      <c r="AA44">
        <f t="shared" si="12"/>
        <v>0.19441046255506608</v>
      </c>
      <c r="AB44">
        <f t="shared" si="13"/>
        <v>1.0826306268345092E-2</v>
      </c>
      <c r="AC44">
        <f t="shared" si="14"/>
        <v>1.6065383759732991E-2</v>
      </c>
    </row>
    <row r="45" spans="1:29" x14ac:dyDescent="0.75">
      <c r="A45" s="1">
        <v>40086.041250000002</v>
      </c>
      <c r="B45" s="14">
        <v>18.7575</v>
      </c>
      <c r="C45" s="14">
        <f t="shared" si="1"/>
        <v>-3.3616692426584271E-2</v>
      </c>
      <c r="D45" s="14">
        <v>12.77</v>
      </c>
      <c r="E45" s="14">
        <f t="shared" si="2"/>
        <v>-1.0844306738962084E-2</v>
      </c>
      <c r="F45" s="14">
        <v>34</v>
      </c>
      <c r="G45" s="14">
        <f t="shared" si="3"/>
        <v>-2.8293798228065214E-2</v>
      </c>
      <c r="H45" s="14">
        <v>33.134151000000003</v>
      </c>
      <c r="I45" s="14">
        <f t="shared" si="4"/>
        <v>0.11095184508062728</v>
      </c>
      <c r="J45" s="14">
        <v>45.19</v>
      </c>
      <c r="K45" s="14">
        <f t="shared" si="5"/>
        <v>0.15310028068384796</v>
      </c>
      <c r="L45" s="14">
        <v>23.64</v>
      </c>
      <c r="M45" s="14">
        <f t="shared" si="6"/>
        <v>0.15317073170731721</v>
      </c>
      <c r="N45" s="14">
        <v>16</v>
      </c>
      <c r="O45" s="14">
        <f t="shared" si="7"/>
        <v>0</v>
      </c>
      <c r="P45" s="14">
        <v>17.064146999999998</v>
      </c>
      <c r="Q45" s="14">
        <f t="shared" si="8"/>
        <v>-1.5649446852709858E-2</v>
      </c>
      <c r="R45" s="14">
        <v>226.08</v>
      </c>
      <c r="S45" s="14">
        <f t="shared" si="9"/>
        <v>9.1646547561564651E-2</v>
      </c>
      <c r="T45" s="14">
        <v>23.47</v>
      </c>
      <c r="U45" s="14">
        <f t="shared" si="0"/>
        <v>-8.0304311073542411E-3</v>
      </c>
      <c r="V45" s="14">
        <v>60489.191405999998</v>
      </c>
      <c r="W45">
        <f t="shared" si="10"/>
        <v>4.1808058227105205E-2</v>
      </c>
      <c r="Z45">
        <f t="shared" si="11"/>
        <v>-1.1111678731988383E-2</v>
      </c>
      <c r="AA45">
        <f t="shared" si="12"/>
        <v>-4.9981409759876239E-3</v>
      </c>
      <c r="AB45">
        <f t="shared" si="13"/>
        <v>-3.6666653975899201E-3</v>
      </c>
      <c r="AC45">
        <f t="shared" si="14"/>
        <v>-2.4468723584108376E-3</v>
      </c>
    </row>
    <row r="46" spans="1:29" x14ac:dyDescent="0.75">
      <c r="A46" s="1">
        <v>40116.041250000002</v>
      </c>
      <c r="B46" s="14">
        <v>19.202500000000001</v>
      </c>
      <c r="C46" s="14">
        <f t="shared" si="1"/>
        <v>2.3723843795814936E-2</v>
      </c>
      <c r="D46" s="14">
        <v>10.06</v>
      </c>
      <c r="E46" s="14">
        <f t="shared" si="2"/>
        <v>-0.21221613155833985</v>
      </c>
      <c r="F46" s="14">
        <v>30.5</v>
      </c>
      <c r="G46" s="14">
        <f t="shared" si="3"/>
        <v>-0.1029411764705882</v>
      </c>
      <c r="H46" s="14">
        <v>28.226020999999999</v>
      </c>
      <c r="I46" s="14">
        <f t="shared" si="4"/>
        <v>-0.14812904063846399</v>
      </c>
      <c r="J46" s="14">
        <v>43.31</v>
      </c>
      <c r="K46" s="14">
        <f t="shared" si="5"/>
        <v>-4.1602124363797177E-2</v>
      </c>
      <c r="L46" s="14">
        <v>24.27</v>
      </c>
      <c r="M46" s="14">
        <f t="shared" si="6"/>
        <v>2.6649746192893398E-2</v>
      </c>
      <c r="N46" s="14">
        <v>16.149999999999999</v>
      </c>
      <c r="O46" s="14">
        <f t="shared" si="7"/>
        <v>9.3749999999999112E-3</v>
      </c>
      <c r="P46" s="14">
        <v>15.698653</v>
      </c>
      <c r="Q46" s="14">
        <f t="shared" si="8"/>
        <v>-8.0021228134051992E-2</v>
      </c>
      <c r="R46" s="14">
        <v>244.12</v>
      </c>
      <c r="S46" s="14">
        <f t="shared" si="9"/>
        <v>7.9794762915782025E-2</v>
      </c>
      <c r="T46" s="14">
        <v>23.51</v>
      </c>
      <c r="U46" s="14">
        <f t="shared" si="0"/>
        <v>1.7043033659993601E-3</v>
      </c>
      <c r="V46" s="14">
        <v>61553.578125</v>
      </c>
      <c r="W46">
        <f t="shared" si="10"/>
        <v>4.0749533140890692E-2</v>
      </c>
      <c r="Z46">
        <f t="shared" si="11"/>
        <v>-0.11604008755142721</v>
      </c>
      <c r="AA46">
        <f t="shared" si="12"/>
        <v>-9.7810415035238837E-2</v>
      </c>
      <c r="AB46">
        <f t="shared" si="13"/>
        <v>-1.8748973751808382E-2</v>
      </c>
      <c r="AC46">
        <f t="shared" si="14"/>
        <v>5.1930123562000507E-4</v>
      </c>
    </row>
    <row r="47" spans="1:29" x14ac:dyDescent="0.75">
      <c r="A47" s="1">
        <v>40147.041250000002</v>
      </c>
      <c r="B47" s="14">
        <v>20.605</v>
      </c>
      <c r="C47" s="14">
        <f t="shared" si="1"/>
        <v>7.303736492644175E-2</v>
      </c>
      <c r="D47" s="14">
        <v>10.74</v>
      </c>
      <c r="E47" s="14">
        <f t="shared" si="2"/>
        <v>6.7594433399602361E-2</v>
      </c>
      <c r="F47" s="14">
        <v>32</v>
      </c>
      <c r="G47" s="14">
        <f t="shared" si="3"/>
        <v>4.9180327868852514E-2</v>
      </c>
      <c r="H47" s="14">
        <v>31.321391999999999</v>
      </c>
      <c r="I47" s="14">
        <f t="shared" si="4"/>
        <v>0.10966373900168214</v>
      </c>
      <c r="J47" s="14">
        <v>44.75</v>
      </c>
      <c r="K47" s="14">
        <f t="shared" si="5"/>
        <v>3.3248672362041098E-2</v>
      </c>
      <c r="L47" s="14">
        <v>23.89</v>
      </c>
      <c r="M47" s="14">
        <f t="shared" si="6"/>
        <v>-1.5657189946435834E-2</v>
      </c>
      <c r="N47" s="14">
        <v>16</v>
      </c>
      <c r="O47" s="14">
        <f t="shared" si="7"/>
        <v>-9.2879256965943124E-3</v>
      </c>
      <c r="P47" s="14">
        <v>16.358792999999999</v>
      </c>
      <c r="Q47" s="14">
        <f t="shared" si="8"/>
        <v>4.2050741550883286E-2</v>
      </c>
      <c r="R47" s="14">
        <v>301.31</v>
      </c>
      <c r="S47" s="14">
        <f t="shared" si="9"/>
        <v>0.23427003113223011</v>
      </c>
      <c r="T47" s="14">
        <v>26.49</v>
      </c>
      <c r="U47" s="14">
        <f t="shared" si="0"/>
        <v>0.12675457252233069</v>
      </c>
      <c r="V47" s="14">
        <v>61798.941405999998</v>
      </c>
      <c r="W47">
        <f t="shared" si="10"/>
        <v>0.1805123018272804</v>
      </c>
      <c r="Z47">
        <f t="shared" si="11"/>
        <v>7.9628881346802849E-2</v>
      </c>
      <c r="AA47">
        <f t="shared" si="12"/>
        <v>3.1154274353876726E-2</v>
      </c>
      <c r="AB47">
        <f t="shared" si="13"/>
        <v>9.8524887453719547E-3</v>
      </c>
      <c r="AC47">
        <f t="shared" si="14"/>
        <v>3.8622118247554162E-2</v>
      </c>
    </row>
    <row r="48" spans="1:29" x14ac:dyDescent="0.75">
      <c r="A48" s="1">
        <v>40178.041250000002</v>
      </c>
      <c r="B48" s="14">
        <v>21.637499999999999</v>
      </c>
      <c r="C48" s="14">
        <f t="shared" si="1"/>
        <v>5.0109196796893851E-2</v>
      </c>
      <c r="D48" s="14">
        <v>11.38</v>
      </c>
      <c r="E48" s="14">
        <f t="shared" si="2"/>
        <v>5.9590316573556956E-2</v>
      </c>
      <c r="F48" s="14">
        <v>35.6</v>
      </c>
      <c r="G48" s="14">
        <f t="shared" si="3"/>
        <v>0.11250000000000004</v>
      </c>
      <c r="H48" s="14">
        <v>34.784444999999998</v>
      </c>
      <c r="I48" s="14">
        <f t="shared" si="4"/>
        <v>0.11056510515241458</v>
      </c>
      <c r="J48" s="14">
        <v>47.84</v>
      </c>
      <c r="K48" s="14">
        <f t="shared" si="5"/>
        <v>6.9050279329609054E-2</v>
      </c>
      <c r="L48" s="14">
        <v>23.07</v>
      </c>
      <c r="M48" s="14">
        <f t="shared" si="6"/>
        <v>-3.4323984930933471E-2</v>
      </c>
      <c r="N48" s="14">
        <v>17.5</v>
      </c>
      <c r="O48" s="14">
        <f t="shared" si="7"/>
        <v>9.375E-2</v>
      </c>
      <c r="P48" s="14">
        <v>17.651941999999998</v>
      </c>
      <c r="Q48" s="14">
        <f t="shared" si="8"/>
        <v>7.9049169458895951E-2</v>
      </c>
      <c r="R48" s="14">
        <v>278.83999999999997</v>
      </c>
      <c r="S48" s="14">
        <f t="shared" si="9"/>
        <v>-7.457435863396511E-2</v>
      </c>
      <c r="T48" s="14">
        <v>29.35</v>
      </c>
      <c r="U48" s="14">
        <f t="shared" si="0"/>
        <v>0.10796526991317501</v>
      </c>
      <c r="V48" s="14">
        <v>62102.128905999998</v>
      </c>
      <c r="W48">
        <f t="shared" si="10"/>
        <v>1.669545563960495E-2</v>
      </c>
      <c r="Z48">
        <f t="shared" si="11"/>
        <v>7.888341505551616E-2</v>
      </c>
      <c r="AA48">
        <f t="shared" si="12"/>
        <v>2.7465176908752401E-2</v>
      </c>
      <c r="AB48">
        <f t="shared" si="13"/>
        <v>1.8521220404219323E-2</v>
      </c>
      <c r="AC48">
        <f t="shared" si="14"/>
        <v>3.2897017742544429E-2</v>
      </c>
    </row>
    <row r="49" spans="1:29" x14ac:dyDescent="0.75">
      <c r="A49" s="1">
        <v>40207.041250000002</v>
      </c>
      <c r="B49" s="14">
        <v>20.56</v>
      </c>
      <c r="C49" s="14">
        <f t="shared" si="1"/>
        <v>-4.9797804737146234E-2</v>
      </c>
      <c r="D49" s="14">
        <v>8.94</v>
      </c>
      <c r="E49" s="14">
        <f t="shared" si="2"/>
        <v>-0.21441124780316356</v>
      </c>
      <c r="F49" s="14">
        <v>37</v>
      </c>
      <c r="G49" s="14">
        <f t="shared" si="3"/>
        <v>3.9325842696629199E-2</v>
      </c>
      <c r="H49" s="14">
        <v>35.323141999999997</v>
      </c>
      <c r="I49" s="14">
        <f t="shared" si="4"/>
        <v>1.5486721147915272E-2</v>
      </c>
      <c r="J49" s="14">
        <v>43.01</v>
      </c>
      <c r="K49" s="14">
        <f t="shared" si="5"/>
        <v>-0.10096153846153855</v>
      </c>
      <c r="L49" s="14">
        <v>25.8</v>
      </c>
      <c r="M49" s="14">
        <f t="shared" si="6"/>
        <v>0.11833550065019516</v>
      </c>
      <c r="N49" s="14">
        <v>19</v>
      </c>
      <c r="O49" s="14">
        <f t="shared" si="7"/>
        <v>8.5714285714285632E-2</v>
      </c>
      <c r="P49" s="14">
        <v>17.688113999999999</v>
      </c>
      <c r="Q49" s="14">
        <f t="shared" si="8"/>
        <v>2.0491796313402144E-3</v>
      </c>
      <c r="R49" s="14">
        <v>241.95</v>
      </c>
      <c r="S49" s="14">
        <f t="shared" si="9"/>
        <v>-0.13229809209582555</v>
      </c>
      <c r="T49" s="14">
        <v>29</v>
      </c>
      <c r="U49" s="14">
        <f t="shared" si="0"/>
        <v>-1.1925042589437829E-2</v>
      </c>
      <c r="V49" s="14">
        <v>61596.230469000002</v>
      </c>
      <c r="W49">
        <f t="shared" si="10"/>
        <v>-7.2111567342631688E-2</v>
      </c>
      <c r="Z49">
        <f t="shared" si="11"/>
        <v>-0.10197558180185679</v>
      </c>
      <c r="AA49">
        <f t="shared" si="12"/>
        <v>-9.8822144112478083E-2</v>
      </c>
      <c r="AB49">
        <f t="shared" si="13"/>
        <v>4.8012278762301226E-4</v>
      </c>
      <c r="AC49">
        <f t="shared" si="14"/>
        <v>-3.6335604770017069E-3</v>
      </c>
    </row>
    <row r="50" spans="1:29" x14ac:dyDescent="0.75">
      <c r="A50" s="1">
        <v>40235.041250000002</v>
      </c>
      <c r="B50" s="14">
        <v>23.31</v>
      </c>
      <c r="C50" s="14">
        <f t="shared" si="1"/>
        <v>0.13375486381322954</v>
      </c>
      <c r="D50" s="14">
        <v>8.9700000000000006</v>
      </c>
      <c r="E50" s="14">
        <f t="shared" si="2"/>
        <v>3.3557046979866278E-3</v>
      </c>
      <c r="F50" s="14">
        <v>40</v>
      </c>
      <c r="G50" s="14">
        <f t="shared" si="3"/>
        <v>8.1081081081081141E-2</v>
      </c>
      <c r="H50" s="14">
        <v>37.264161999999999</v>
      </c>
      <c r="I50" s="14">
        <f t="shared" si="4"/>
        <v>5.4950377857100108E-2</v>
      </c>
      <c r="J50" s="14">
        <v>47.78</v>
      </c>
      <c r="K50" s="14">
        <f t="shared" si="5"/>
        <v>0.11090444082771467</v>
      </c>
      <c r="L50" s="14">
        <v>25.2</v>
      </c>
      <c r="M50" s="14">
        <f t="shared" si="6"/>
        <v>-2.3255813953488413E-2</v>
      </c>
      <c r="N50" s="14">
        <v>17.55</v>
      </c>
      <c r="O50" s="14">
        <f t="shared" si="7"/>
        <v>-7.6315789473684226E-2</v>
      </c>
      <c r="P50" s="14">
        <v>20.422115000000002</v>
      </c>
      <c r="Q50" s="14">
        <f t="shared" si="8"/>
        <v>0.15456712909019044</v>
      </c>
      <c r="R50" s="14">
        <v>255.83</v>
      </c>
      <c r="S50" s="14">
        <f t="shared" si="9"/>
        <v>5.7367224633188885E-2</v>
      </c>
      <c r="T50" s="14">
        <v>31.84</v>
      </c>
      <c r="U50" s="14">
        <f t="shared" si="0"/>
        <v>9.7931034482758639E-2</v>
      </c>
      <c r="V50" s="14">
        <v>61323.949219000002</v>
      </c>
      <c r="W50">
        <f t="shared" si="10"/>
        <v>7.7649129557973762E-2</v>
      </c>
      <c r="Z50">
        <f t="shared" si="11"/>
        <v>6.7601308848030214E-2</v>
      </c>
      <c r="AA50">
        <f t="shared" si="12"/>
        <v>1.5466442953020367E-3</v>
      </c>
      <c r="AB50">
        <f t="shared" si="13"/>
        <v>3.6215078345831618E-2</v>
      </c>
      <c r="AC50">
        <f t="shared" si="14"/>
        <v>2.983958620689656E-2</v>
      </c>
    </row>
    <row r="51" spans="1:29" x14ac:dyDescent="0.75">
      <c r="A51" s="1">
        <v>40268.041250000002</v>
      </c>
      <c r="B51" s="14">
        <v>27.195</v>
      </c>
      <c r="C51" s="14">
        <f t="shared" si="1"/>
        <v>0.16666666666666674</v>
      </c>
      <c r="D51" s="14">
        <v>9.31</v>
      </c>
      <c r="E51" s="14">
        <f t="shared" si="2"/>
        <v>3.7904124860646649E-2</v>
      </c>
      <c r="F51" s="14">
        <v>38.6</v>
      </c>
      <c r="G51" s="14">
        <f t="shared" si="3"/>
        <v>-3.499999999999992E-2</v>
      </c>
      <c r="H51" s="14">
        <v>39.350544999999997</v>
      </c>
      <c r="I51" s="14">
        <f t="shared" si="4"/>
        <v>5.5988995539467679E-2</v>
      </c>
      <c r="J51" s="14">
        <v>54.57</v>
      </c>
      <c r="K51" s="14">
        <f t="shared" si="5"/>
        <v>0.14210966931770619</v>
      </c>
      <c r="L51" s="14">
        <v>27.95</v>
      </c>
      <c r="M51" s="14">
        <f t="shared" si="6"/>
        <v>0.10912698412698418</v>
      </c>
      <c r="N51" s="14">
        <v>17.12</v>
      </c>
      <c r="O51" s="14">
        <f t="shared" si="7"/>
        <v>-2.4501424501424451E-2</v>
      </c>
      <c r="P51" s="14">
        <v>21.133497999999999</v>
      </c>
      <c r="Q51" s="14">
        <f t="shared" si="8"/>
        <v>3.4833953290342334E-2</v>
      </c>
      <c r="R51" s="14">
        <v>260.76</v>
      </c>
      <c r="S51" s="14">
        <f t="shared" si="9"/>
        <v>1.9270609389047344E-2</v>
      </c>
      <c r="T51" s="14">
        <v>31.56</v>
      </c>
      <c r="U51" s="14">
        <f t="shared" si="0"/>
        <v>-8.793969849246297E-3</v>
      </c>
      <c r="V51" s="14">
        <v>61200.269530999998</v>
      </c>
      <c r="W51">
        <f t="shared" si="10"/>
        <v>5.2383197699005235E-3</v>
      </c>
      <c r="Z51">
        <f t="shared" si="11"/>
        <v>2.2952083791133907E-2</v>
      </c>
      <c r="AA51">
        <f t="shared" si="12"/>
        <v>1.7470011148272041E-2</v>
      </c>
      <c r="AB51">
        <f t="shared" si="13"/>
        <v>8.1615952559272089E-3</v>
      </c>
      <c r="AC51">
        <f t="shared" si="14"/>
        <v>-2.6795226130653469E-3</v>
      </c>
    </row>
    <row r="52" spans="1:29" x14ac:dyDescent="0.75">
      <c r="A52" s="1">
        <v>40298.041250000002</v>
      </c>
      <c r="B52" s="14">
        <v>24.6</v>
      </c>
      <c r="C52" s="14">
        <f t="shared" si="1"/>
        <v>-9.5421952564809676E-2</v>
      </c>
      <c r="D52" s="14">
        <v>10.76</v>
      </c>
      <c r="E52" s="14">
        <f t="shared" si="2"/>
        <v>0.15574650912996768</v>
      </c>
      <c r="F52" s="14">
        <v>54.49</v>
      </c>
      <c r="G52" s="14">
        <f t="shared" si="3"/>
        <v>0.41165803108808285</v>
      </c>
      <c r="H52" s="14">
        <v>37.272713000000003</v>
      </c>
      <c r="I52" s="14">
        <f t="shared" si="4"/>
        <v>-5.2803131443287299E-2</v>
      </c>
      <c r="J52" s="14">
        <v>51.12</v>
      </c>
      <c r="K52" s="14">
        <f t="shared" si="5"/>
        <v>-6.3221550302363982E-2</v>
      </c>
      <c r="L52" s="14">
        <v>22.66</v>
      </c>
      <c r="M52" s="14">
        <f t="shared" si="6"/>
        <v>-0.18926654740608229</v>
      </c>
      <c r="N52" s="14">
        <v>18.27</v>
      </c>
      <c r="O52" s="14">
        <f t="shared" si="7"/>
        <v>6.7172897196261516E-2</v>
      </c>
      <c r="P52" s="14">
        <v>21.525362000000001</v>
      </c>
      <c r="Q52" s="14">
        <f t="shared" si="8"/>
        <v>1.8542316089839916E-2</v>
      </c>
      <c r="R52" s="14">
        <v>259.58</v>
      </c>
      <c r="S52" s="14">
        <f t="shared" si="9"/>
        <v>-4.5252339315846601E-3</v>
      </c>
      <c r="T52" s="14">
        <v>28.66</v>
      </c>
      <c r="U52" s="14">
        <f t="shared" si="0"/>
        <v>-9.1888466413181158E-2</v>
      </c>
      <c r="V52" s="14">
        <v>62004.109375</v>
      </c>
      <c r="W52">
        <f t="shared" si="10"/>
        <v>-4.8206850172382909E-2</v>
      </c>
      <c r="Z52">
        <f t="shared" si="11"/>
        <v>4.8129615001755277E-2</v>
      </c>
      <c r="AA52">
        <f t="shared" si="12"/>
        <v>7.1783566058002096E-2</v>
      </c>
      <c r="AB52">
        <f t="shared" si="13"/>
        <v>4.3444646598494929E-3</v>
      </c>
      <c r="AC52">
        <f t="shared" si="14"/>
        <v>-2.7998415716096303E-2</v>
      </c>
    </row>
    <row r="53" spans="1:29" x14ac:dyDescent="0.75">
      <c r="A53" s="1">
        <v>40329.041250000002</v>
      </c>
      <c r="B53" s="14">
        <v>22.9725</v>
      </c>
      <c r="C53" s="14">
        <f t="shared" si="1"/>
        <v>-6.6158536585365857E-2</v>
      </c>
      <c r="D53" s="14">
        <v>10.67</v>
      </c>
      <c r="E53" s="14">
        <f t="shared" si="2"/>
        <v>-8.3643122676579917E-3</v>
      </c>
      <c r="F53" s="14">
        <v>57</v>
      </c>
      <c r="G53" s="14">
        <f t="shared" si="3"/>
        <v>4.606349788952091E-2</v>
      </c>
      <c r="H53" s="14">
        <v>39.042718000000001</v>
      </c>
      <c r="I53" s="14">
        <f t="shared" si="4"/>
        <v>4.7487957208803167E-2</v>
      </c>
      <c r="J53" s="14">
        <v>50.51</v>
      </c>
      <c r="K53" s="14">
        <f t="shared" si="5"/>
        <v>-1.1932707355242544E-2</v>
      </c>
      <c r="L53" s="14">
        <v>19.559999999999999</v>
      </c>
      <c r="M53" s="14">
        <f t="shared" si="6"/>
        <v>-0.13680494263018539</v>
      </c>
      <c r="N53" s="14">
        <v>17.93</v>
      </c>
      <c r="O53" s="14">
        <f t="shared" si="7"/>
        <v>-1.8609742747673796E-2</v>
      </c>
      <c r="P53" s="14">
        <v>21.245028999999999</v>
      </c>
      <c r="Q53" s="14">
        <f t="shared" si="8"/>
        <v>-1.3023381441854553E-2</v>
      </c>
      <c r="R53" s="14">
        <v>235.72</v>
      </c>
      <c r="S53" s="14">
        <f t="shared" si="9"/>
        <v>-9.1917713229062281E-2</v>
      </c>
      <c r="T53" s="14">
        <v>28.77</v>
      </c>
      <c r="U53" s="14">
        <f t="shared" si="0"/>
        <v>3.8381018841591175E-3</v>
      </c>
      <c r="V53" s="14">
        <v>62368.191405999998</v>
      </c>
      <c r="W53">
        <f t="shared" si="10"/>
        <v>-4.4039805672451582E-2</v>
      </c>
      <c r="Z53">
        <f t="shared" si="11"/>
        <v>-5.7370201518868067E-3</v>
      </c>
      <c r="AA53">
        <f t="shared" si="12"/>
        <v>-3.8551115241635681E-3</v>
      </c>
      <c r="AB53">
        <f t="shared" si="13"/>
        <v>-3.0513782718265218E-3</v>
      </c>
      <c r="AC53">
        <f t="shared" si="14"/>
        <v>1.1694696441032831E-3</v>
      </c>
    </row>
    <row r="54" spans="1:29" x14ac:dyDescent="0.75">
      <c r="A54" s="1">
        <v>40359.041250000002</v>
      </c>
      <c r="B54" s="14">
        <v>22.98</v>
      </c>
      <c r="C54" s="14">
        <f t="shared" si="1"/>
        <v>3.2647730982704459E-4</v>
      </c>
      <c r="D54" s="14">
        <v>9.58</v>
      </c>
      <c r="E54" s="14">
        <f t="shared" si="2"/>
        <v>-0.10215557638238049</v>
      </c>
      <c r="F54" s="14">
        <v>55</v>
      </c>
      <c r="G54" s="14">
        <f t="shared" si="3"/>
        <v>-3.5087719298245612E-2</v>
      </c>
      <c r="H54" s="14">
        <v>32.108060999999999</v>
      </c>
      <c r="I54" s="14">
        <f t="shared" si="4"/>
        <v>-0.17761716794409654</v>
      </c>
      <c r="J54" s="14">
        <v>50.14</v>
      </c>
      <c r="K54" s="14">
        <f t="shared" si="5"/>
        <v>-7.3252821223519504E-3</v>
      </c>
      <c r="L54" s="14">
        <v>19.96</v>
      </c>
      <c r="M54" s="14">
        <f t="shared" si="6"/>
        <v>2.0449897750511425E-2</v>
      </c>
      <c r="N54" s="14">
        <v>17.5</v>
      </c>
      <c r="O54" s="14">
        <f t="shared" si="7"/>
        <v>-2.3982152816508617E-2</v>
      </c>
      <c r="P54" s="14">
        <v>22.526121</v>
      </c>
      <c r="Q54" s="14">
        <f t="shared" si="8"/>
        <v>6.0300788480919465E-2</v>
      </c>
      <c r="R54" s="14">
        <v>252.14</v>
      </c>
      <c r="S54" s="14">
        <f t="shared" si="9"/>
        <v>6.9658917359579187E-2</v>
      </c>
      <c r="T54" s="14">
        <v>28.64</v>
      </c>
      <c r="U54" s="14">
        <f t="shared" si="0"/>
        <v>-4.5185957594716664E-3</v>
      </c>
      <c r="V54" s="14">
        <v>61905.949219000002</v>
      </c>
      <c r="W54">
        <f t="shared" si="10"/>
        <v>3.257016080005376E-2</v>
      </c>
      <c r="Z54">
        <f t="shared" si="11"/>
        <v>-3.4331846541470749E-2</v>
      </c>
      <c r="AA54">
        <f t="shared" si="12"/>
        <v>-4.708350515463916E-2</v>
      </c>
      <c r="AB54">
        <f t="shared" si="13"/>
        <v>1.4128474741079431E-2</v>
      </c>
      <c r="AC54">
        <f t="shared" si="14"/>
        <v>-1.376816127911017E-3</v>
      </c>
    </row>
    <row r="55" spans="1:29" x14ac:dyDescent="0.75">
      <c r="A55" s="1">
        <v>40389.041250000002</v>
      </c>
      <c r="B55" s="14">
        <v>23.84</v>
      </c>
      <c r="C55" s="14">
        <f t="shared" si="1"/>
        <v>3.7423846823324558E-2</v>
      </c>
      <c r="D55" s="14">
        <v>9.1199999999999992</v>
      </c>
      <c r="E55" s="14">
        <f t="shared" si="2"/>
        <v>-4.8016701461377931E-2</v>
      </c>
      <c r="F55" s="14">
        <v>49.9</v>
      </c>
      <c r="G55" s="14">
        <f t="shared" si="3"/>
        <v>-9.2727272727272769E-2</v>
      </c>
      <c r="H55" s="14">
        <v>35.083722000000002</v>
      </c>
      <c r="I55" s="14">
        <f t="shared" si="4"/>
        <v>9.2676446578321858E-2</v>
      </c>
      <c r="J55" s="14">
        <v>49.55</v>
      </c>
      <c r="K55" s="14">
        <f t="shared" si="5"/>
        <v>-1.1767052253689791E-2</v>
      </c>
      <c r="L55" s="14">
        <v>18.920000000000002</v>
      </c>
      <c r="M55" s="14">
        <f t="shared" si="6"/>
        <v>-5.2104208416833608E-2</v>
      </c>
      <c r="N55" s="14">
        <v>17.8</v>
      </c>
      <c r="O55" s="14">
        <f t="shared" si="7"/>
        <v>1.7142857142857126E-2</v>
      </c>
      <c r="P55" s="14">
        <v>24.111661000000002</v>
      </c>
      <c r="Q55" s="14">
        <f t="shared" si="8"/>
        <v>7.0386730143196852E-2</v>
      </c>
      <c r="R55" s="14">
        <v>264.52</v>
      </c>
      <c r="S55" s="14">
        <f t="shared" si="9"/>
        <v>4.9099706512255148E-2</v>
      </c>
      <c r="T55" s="14">
        <v>29.4</v>
      </c>
      <c r="U55" s="14">
        <f t="shared" si="0"/>
        <v>2.6536312849162025E-2</v>
      </c>
      <c r="V55" s="14">
        <v>61945.039062999997</v>
      </c>
      <c r="W55">
        <f t="shared" si="10"/>
        <v>3.7818009680708586E-2</v>
      </c>
      <c r="Z55">
        <f t="shared" si="11"/>
        <v>2.4463276941416034E-3</v>
      </c>
      <c r="AA55">
        <f t="shared" si="12"/>
        <v>-2.2130897703549087E-2</v>
      </c>
      <c r="AB55">
        <f t="shared" si="13"/>
        <v>1.6491610872551021E-2</v>
      </c>
      <c r="AC55">
        <f t="shared" si="14"/>
        <v>8.0856145251396692E-3</v>
      </c>
    </row>
    <row r="56" spans="1:29" x14ac:dyDescent="0.75">
      <c r="A56" s="1">
        <v>40421.041250000002</v>
      </c>
      <c r="B56" s="14">
        <v>22.64</v>
      </c>
      <c r="C56" s="14">
        <f t="shared" si="1"/>
        <v>-5.0335570469798641E-2</v>
      </c>
      <c r="D56" s="14">
        <v>7.81</v>
      </c>
      <c r="E56" s="14">
        <f t="shared" si="2"/>
        <v>-0.14364035087719296</v>
      </c>
      <c r="F56" s="14">
        <v>48.46</v>
      </c>
      <c r="G56" s="14">
        <f t="shared" si="3"/>
        <v>-2.8857715430861686E-2</v>
      </c>
      <c r="H56" s="14">
        <v>31.329943</v>
      </c>
      <c r="I56" s="14">
        <f t="shared" si="4"/>
        <v>-0.10699489067893087</v>
      </c>
      <c r="J56" s="14">
        <v>47.49</v>
      </c>
      <c r="K56" s="14">
        <f t="shared" si="5"/>
        <v>-4.1574167507568038E-2</v>
      </c>
      <c r="L56" s="14">
        <v>17.579999999999998</v>
      </c>
      <c r="M56" s="14">
        <f t="shared" si="6"/>
        <v>-7.0824524312896542E-2</v>
      </c>
      <c r="N56" s="14">
        <v>17.8</v>
      </c>
      <c r="O56" s="14">
        <f t="shared" si="7"/>
        <v>0</v>
      </c>
      <c r="P56" s="14">
        <v>23.029515</v>
      </c>
      <c r="Q56" s="14">
        <f t="shared" si="8"/>
        <v>-4.4880607768996161E-2</v>
      </c>
      <c r="R56" s="14">
        <v>278.56</v>
      </c>
      <c r="S56" s="14">
        <f t="shared" si="9"/>
        <v>5.3077272039921519E-2</v>
      </c>
      <c r="T56" s="14">
        <v>29.51</v>
      </c>
      <c r="U56" s="14">
        <f t="shared" si="0"/>
        <v>3.7414965986395377E-3</v>
      </c>
      <c r="V56" s="14">
        <v>62307.070312999997</v>
      </c>
      <c r="W56">
        <f t="shared" si="10"/>
        <v>2.8409384319280528E-2</v>
      </c>
      <c r="Z56">
        <f t="shared" si="11"/>
        <v>-7.5579330105968567E-2</v>
      </c>
      <c r="AA56">
        <f t="shared" si="12"/>
        <v>-6.6203837719298234E-2</v>
      </c>
      <c r="AB56">
        <f t="shared" si="13"/>
        <v>-1.0515526400275801E-2</v>
      </c>
      <c r="AC56">
        <f t="shared" si="14"/>
        <v>1.1400340136054673E-3</v>
      </c>
    </row>
    <row r="57" spans="1:29" x14ac:dyDescent="0.75">
      <c r="A57" s="1">
        <v>40451.041250000002</v>
      </c>
      <c r="B57" s="14">
        <v>23.07</v>
      </c>
      <c r="C57" s="14">
        <f t="shared" si="1"/>
        <v>1.8992932862190726E-2</v>
      </c>
      <c r="D57" s="14">
        <v>8.19</v>
      </c>
      <c r="E57" s="14">
        <f t="shared" si="2"/>
        <v>4.8655569782330321E-2</v>
      </c>
      <c r="F57" s="14">
        <v>48.5</v>
      </c>
      <c r="G57" s="14">
        <f t="shared" si="3"/>
        <v>8.2542302930255218E-4</v>
      </c>
      <c r="H57" s="14">
        <v>37.195756000000003</v>
      </c>
      <c r="I57" s="14">
        <f t="shared" si="4"/>
        <v>0.18722705623818103</v>
      </c>
      <c r="J57" s="14">
        <v>47.71</v>
      </c>
      <c r="K57" s="14">
        <f t="shared" si="5"/>
        <v>4.6325542219414206E-3</v>
      </c>
      <c r="L57" s="14">
        <v>17.989999999999998</v>
      </c>
      <c r="M57" s="14">
        <f t="shared" si="6"/>
        <v>2.3321956769055685E-2</v>
      </c>
      <c r="N57" s="14">
        <v>18.5</v>
      </c>
      <c r="O57" s="14">
        <f t="shared" si="7"/>
        <v>3.9325842696629199E-2</v>
      </c>
      <c r="P57" s="14">
        <v>24.187018999999999</v>
      </c>
      <c r="Q57" s="14">
        <f t="shared" si="8"/>
        <v>5.0261761917261394E-2</v>
      </c>
      <c r="R57" s="14">
        <v>307.75</v>
      </c>
      <c r="S57" s="14">
        <f t="shared" si="9"/>
        <v>0.10478891441700178</v>
      </c>
      <c r="T57" s="14">
        <v>31.58</v>
      </c>
      <c r="U57" s="14">
        <f t="shared" si="0"/>
        <v>7.0145713317519398E-2</v>
      </c>
      <c r="V57" s="14">
        <v>62610.121094000002</v>
      </c>
      <c r="W57">
        <f t="shared" si="10"/>
        <v>8.7467313867260588E-2</v>
      </c>
      <c r="Z57">
        <f t="shared" si="11"/>
        <v>5.5575081777738553E-2</v>
      </c>
      <c r="AA57">
        <f t="shared" si="12"/>
        <v>2.2425352112676045E-2</v>
      </c>
      <c r="AB57">
        <f t="shared" si="13"/>
        <v>1.1776330817214345E-2</v>
      </c>
      <c r="AC57">
        <f t="shared" si="14"/>
        <v>2.1373398847848162E-2</v>
      </c>
    </row>
    <row r="58" spans="1:29" x14ac:dyDescent="0.75">
      <c r="A58" s="1">
        <v>40480.041250000002</v>
      </c>
      <c r="B58" s="14">
        <v>23.8</v>
      </c>
      <c r="C58" s="14">
        <f t="shared" si="1"/>
        <v>3.1642826181187633E-2</v>
      </c>
      <c r="D58" s="14">
        <v>8.2200000000000006</v>
      </c>
      <c r="E58" s="14">
        <f t="shared" si="2"/>
        <v>3.663003663003872E-3</v>
      </c>
      <c r="F58" s="14">
        <v>51</v>
      </c>
      <c r="G58" s="14">
        <f t="shared" si="3"/>
        <v>5.1546391752577359E-2</v>
      </c>
      <c r="H58" s="14">
        <v>39.290689999999998</v>
      </c>
      <c r="I58" s="14">
        <f t="shared" si="4"/>
        <v>5.6321855643960861E-2</v>
      </c>
      <c r="J58" s="14">
        <v>52.67</v>
      </c>
      <c r="K58" s="14">
        <f t="shared" si="5"/>
        <v>0.10396143366170607</v>
      </c>
      <c r="L58" s="14">
        <v>24.26</v>
      </c>
      <c r="M58" s="14">
        <f t="shared" si="6"/>
        <v>0.34852695942190115</v>
      </c>
      <c r="N58" s="14">
        <v>19.100000000000001</v>
      </c>
      <c r="O58" s="14">
        <f t="shared" si="7"/>
        <v>3.2432432432432545E-2</v>
      </c>
      <c r="P58" s="14">
        <v>23.361090999999998</v>
      </c>
      <c r="Q58" s="14">
        <f t="shared" si="8"/>
        <v>-3.4147573125898667E-2</v>
      </c>
      <c r="R58" s="14">
        <v>349.87</v>
      </c>
      <c r="S58" s="14">
        <f t="shared" si="9"/>
        <v>0.13686433793663699</v>
      </c>
      <c r="T58" s="14">
        <v>33.78</v>
      </c>
      <c r="U58" s="14">
        <f t="shared" si="0"/>
        <v>6.9664344521849442E-2</v>
      </c>
      <c r="V58" s="14">
        <v>61929.71875</v>
      </c>
      <c r="W58">
        <f t="shared" si="10"/>
        <v>0.10326434122924322</v>
      </c>
      <c r="Z58">
        <f t="shared" si="11"/>
        <v>1.4914227780687954E-2</v>
      </c>
      <c r="AA58">
        <f t="shared" si="12"/>
        <v>1.6882783882784845E-3</v>
      </c>
      <c r="AB58">
        <f t="shared" si="13"/>
        <v>-8.0007763833980575E-3</v>
      </c>
      <c r="AC58">
        <f t="shared" si="14"/>
        <v>2.1226725775807528E-2</v>
      </c>
    </row>
    <row r="59" spans="1:29" x14ac:dyDescent="0.75">
      <c r="A59" s="1">
        <v>40512.041250000002</v>
      </c>
      <c r="B59" s="14">
        <v>25.41</v>
      </c>
      <c r="C59" s="14">
        <f t="shared" si="1"/>
        <v>6.7647058823529393E-2</v>
      </c>
      <c r="D59" s="14">
        <v>8.6</v>
      </c>
      <c r="E59" s="14">
        <f t="shared" si="2"/>
        <v>4.6228710462286937E-2</v>
      </c>
      <c r="F59" s="14">
        <v>45.05</v>
      </c>
      <c r="G59" s="14">
        <f t="shared" si="3"/>
        <v>-0.1166666666666667</v>
      </c>
      <c r="H59" s="14">
        <v>40.846926000000003</v>
      </c>
      <c r="I59" s="14">
        <f t="shared" si="4"/>
        <v>3.9608263433398738E-2</v>
      </c>
      <c r="J59" s="14">
        <v>53.79</v>
      </c>
      <c r="K59" s="14">
        <f t="shared" si="5"/>
        <v>2.1264476931839749E-2</v>
      </c>
      <c r="L59" s="14">
        <v>23.07</v>
      </c>
      <c r="M59" s="14">
        <f t="shared" si="6"/>
        <v>-4.9051937345424568E-2</v>
      </c>
      <c r="N59" s="14">
        <v>20.91</v>
      </c>
      <c r="O59" s="14">
        <f t="shared" si="7"/>
        <v>9.4764397905759079E-2</v>
      </c>
      <c r="P59" s="14">
        <v>23.056643999999999</v>
      </c>
      <c r="Q59" s="14">
        <f t="shared" si="8"/>
        <v>-1.3032225250096396E-2</v>
      </c>
      <c r="R59" s="14">
        <v>391.09</v>
      </c>
      <c r="S59" s="14">
        <f t="shared" si="9"/>
        <v>0.11781518849858519</v>
      </c>
      <c r="T59" s="14">
        <v>35.119999999999997</v>
      </c>
      <c r="U59" s="14">
        <f t="shared" si="0"/>
        <v>3.9668442865600895E-2</v>
      </c>
      <c r="V59" s="14">
        <v>62220.308594000002</v>
      </c>
      <c r="W59">
        <f t="shared" si="10"/>
        <v>7.8741815682093041E-2</v>
      </c>
      <c r="Z59">
        <f t="shared" si="11"/>
        <v>3.0340336817119055E-2</v>
      </c>
      <c r="AA59">
        <f t="shared" si="12"/>
        <v>2.1306812652068047E-2</v>
      </c>
      <c r="AB59">
        <f t="shared" si="13"/>
        <v>-3.0534503760975859E-3</v>
      </c>
      <c r="AC59">
        <f t="shared" si="14"/>
        <v>1.2086974541148593E-2</v>
      </c>
    </row>
    <row r="60" spans="1:29" x14ac:dyDescent="0.75">
      <c r="A60" s="1">
        <v>40543.041250000002</v>
      </c>
      <c r="B60" s="14">
        <v>26.357500000000002</v>
      </c>
      <c r="C60" s="14">
        <f t="shared" si="1"/>
        <v>3.7288469106651068E-2</v>
      </c>
      <c r="D60" s="14">
        <v>10.01</v>
      </c>
      <c r="E60" s="14">
        <f t="shared" si="2"/>
        <v>0.163953488372093</v>
      </c>
      <c r="F60" s="14">
        <v>49.97</v>
      </c>
      <c r="G60" s="14">
        <f t="shared" si="3"/>
        <v>0.10921198668146515</v>
      </c>
      <c r="H60" s="14">
        <v>43.053018999999999</v>
      </c>
      <c r="I60" s="14">
        <f t="shared" si="4"/>
        <v>5.4008788813140862E-2</v>
      </c>
      <c r="J60" s="14">
        <v>58.86</v>
      </c>
      <c r="K60" s="14">
        <f t="shared" si="5"/>
        <v>9.4255437813719922E-2</v>
      </c>
      <c r="L60" s="14">
        <v>23.21</v>
      </c>
      <c r="M60" s="14">
        <f t="shared" si="6"/>
        <v>6.0684872128304868E-3</v>
      </c>
      <c r="N60" s="14">
        <v>22.13</v>
      </c>
      <c r="O60" s="14">
        <f t="shared" si="7"/>
        <v>5.8345289335246298E-2</v>
      </c>
      <c r="P60" s="14">
        <v>22.827553999999999</v>
      </c>
      <c r="Q60" s="14">
        <f t="shared" si="8"/>
        <v>-9.9359646616393738E-3</v>
      </c>
      <c r="R60" s="14">
        <v>450.14</v>
      </c>
      <c r="S60" s="14">
        <f t="shared" si="9"/>
        <v>0.15098826357104511</v>
      </c>
      <c r="T60" s="14">
        <v>35.44</v>
      </c>
      <c r="U60" s="14">
        <f t="shared" si="0"/>
        <v>9.1116173120728838E-3</v>
      </c>
      <c r="V60" s="14">
        <v>61984.429687999997</v>
      </c>
      <c r="W60">
        <f t="shared" si="10"/>
        <v>8.0049940441558998E-2</v>
      </c>
      <c r="Z60">
        <f t="shared" si="11"/>
        <v>7.6014476065464173E-2</v>
      </c>
      <c r="AA60">
        <f t="shared" si="12"/>
        <v>7.5566162790697666E-2</v>
      </c>
      <c r="AB60">
        <f t="shared" si="13"/>
        <v>-2.3279965202221056E-3</v>
      </c>
      <c r="AC60">
        <f t="shared" si="14"/>
        <v>2.7763097949886077E-3</v>
      </c>
    </row>
    <row r="61" spans="1:29" x14ac:dyDescent="0.75">
      <c r="A61" s="1">
        <v>40574.041250000002</v>
      </c>
      <c r="B61" s="14">
        <v>25.607500000000002</v>
      </c>
      <c r="C61" s="14">
        <f t="shared" si="1"/>
        <v>-2.8454898985108557E-2</v>
      </c>
      <c r="D61" s="14">
        <v>8.7100000000000009</v>
      </c>
      <c r="E61" s="14">
        <f t="shared" si="2"/>
        <v>-0.1298701298701298</v>
      </c>
      <c r="F61" s="14">
        <v>49.95</v>
      </c>
      <c r="G61" s="14">
        <f t="shared" si="3"/>
        <v>-4.0024014408635011E-4</v>
      </c>
      <c r="H61" s="14">
        <v>40.479244000000001</v>
      </c>
      <c r="I61" s="14">
        <f t="shared" si="4"/>
        <v>-5.978152194158548E-2</v>
      </c>
      <c r="J61" s="14">
        <v>53.98</v>
      </c>
      <c r="K61" s="14">
        <f t="shared" si="5"/>
        <v>-8.290859667006456E-2</v>
      </c>
      <c r="L61" s="14">
        <v>26.34</v>
      </c>
      <c r="M61" s="14">
        <f t="shared" si="6"/>
        <v>0.13485566566135287</v>
      </c>
      <c r="N61" s="14">
        <v>22.19</v>
      </c>
      <c r="O61" s="14">
        <f t="shared" si="7"/>
        <v>2.7112516945324572E-3</v>
      </c>
      <c r="P61" s="14">
        <v>20.199055000000001</v>
      </c>
      <c r="Q61" s="14">
        <f t="shared" si="8"/>
        <v>-0.1151458890426893</v>
      </c>
      <c r="R61" s="14">
        <v>402.17</v>
      </c>
      <c r="S61" s="14">
        <f t="shared" si="9"/>
        <v>-0.10656684587017362</v>
      </c>
      <c r="T61" s="14">
        <v>33.700000000000003</v>
      </c>
      <c r="U61" s="14">
        <f t="shared" si="0"/>
        <v>-4.9097065462753831E-2</v>
      </c>
      <c r="V61" s="14">
        <v>60404.191405999998</v>
      </c>
      <c r="W61">
        <f t="shared" si="10"/>
        <v>-7.7831955666463726E-2</v>
      </c>
      <c r="Z61">
        <f t="shared" si="11"/>
        <v>-0.10179570050634602</v>
      </c>
      <c r="AA61">
        <f t="shared" si="12"/>
        <v>-5.9857142857142824E-2</v>
      </c>
      <c r="AB61">
        <f t="shared" si="13"/>
        <v>-2.6978681802702104E-2</v>
      </c>
      <c r="AC61">
        <f t="shared" si="14"/>
        <v>-1.4959875846501094E-2</v>
      </c>
    </row>
    <row r="62" spans="1:29" x14ac:dyDescent="0.75">
      <c r="A62" s="1">
        <v>40602.041250000002</v>
      </c>
      <c r="B62" s="14">
        <v>23.552499999999998</v>
      </c>
      <c r="C62" s="14">
        <f t="shared" si="1"/>
        <v>-8.0249926779264014E-2</v>
      </c>
      <c r="D62" s="14">
        <v>8.27</v>
      </c>
      <c r="E62" s="14">
        <f t="shared" si="2"/>
        <v>-5.0516647531573033E-2</v>
      </c>
      <c r="F62" s="14">
        <v>51.49</v>
      </c>
      <c r="G62" s="14">
        <f t="shared" si="3"/>
        <v>3.0830830830830713E-2</v>
      </c>
      <c r="H62" s="14">
        <v>39.341994</v>
      </c>
      <c r="I62" s="14">
        <f t="shared" si="4"/>
        <v>-2.809464524584504E-2</v>
      </c>
      <c r="J62" s="14">
        <v>54.96</v>
      </c>
      <c r="K62" s="14">
        <f t="shared" si="5"/>
        <v>1.8154872174879655E-2</v>
      </c>
      <c r="L62" s="14">
        <v>24.64</v>
      </c>
      <c r="M62" s="14">
        <f t="shared" si="6"/>
        <v>-6.4540622627182964E-2</v>
      </c>
      <c r="N62" s="14">
        <v>23.49</v>
      </c>
      <c r="O62" s="14">
        <f t="shared" si="7"/>
        <v>5.8584948174853491E-2</v>
      </c>
      <c r="P62" s="14">
        <v>21.235986</v>
      </c>
      <c r="Q62" s="14">
        <f t="shared" si="8"/>
        <v>5.1335619413878542E-2</v>
      </c>
      <c r="R62" s="14">
        <v>420.92</v>
      </c>
      <c r="S62" s="14">
        <f t="shared" si="9"/>
        <v>4.6622075241813166E-2</v>
      </c>
      <c r="T62" s="14">
        <v>34.619999999999997</v>
      </c>
      <c r="U62" s="14">
        <f t="shared" si="0"/>
        <v>2.7299703264094699E-2</v>
      </c>
      <c r="V62" s="14">
        <v>60215.75</v>
      </c>
      <c r="W62">
        <f t="shared" si="10"/>
        <v>3.6960889252953932E-2</v>
      </c>
      <c r="Z62">
        <f t="shared" si="11"/>
        <v>-2.9369676340606117E-3</v>
      </c>
      <c r="AA62">
        <f t="shared" si="12"/>
        <v>-2.328312284730201E-2</v>
      </c>
      <c r="AB62">
        <f t="shared" si="13"/>
        <v>1.2027935628671743E-2</v>
      </c>
      <c r="AC62">
        <f t="shared" si="14"/>
        <v>8.3182195845696548E-3</v>
      </c>
    </row>
    <row r="63" spans="1:29" x14ac:dyDescent="0.75">
      <c r="A63" s="1">
        <v>40633.041250000002</v>
      </c>
      <c r="B63" s="14">
        <v>25.05</v>
      </c>
      <c r="C63" s="14">
        <f t="shared" si="1"/>
        <v>6.3581360789725094E-2</v>
      </c>
      <c r="D63" s="14">
        <v>8.4</v>
      </c>
      <c r="E63" s="14">
        <f t="shared" si="2"/>
        <v>1.5719467956469169E-2</v>
      </c>
      <c r="F63" s="14">
        <v>50.5</v>
      </c>
      <c r="G63" s="14">
        <f t="shared" si="3"/>
        <v>-1.9227034375606911E-2</v>
      </c>
      <c r="H63" s="14">
        <v>43.241135999999997</v>
      </c>
      <c r="I63" s="14">
        <f t="shared" si="4"/>
        <v>9.9108906376224715E-2</v>
      </c>
      <c r="J63" s="14">
        <v>55.98</v>
      </c>
      <c r="K63" s="14">
        <f t="shared" si="5"/>
        <v>1.8558951965065518E-2</v>
      </c>
      <c r="L63" s="14">
        <v>24.96</v>
      </c>
      <c r="M63" s="14">
        <f t="shared" si="6"/>
        <v>1.2987012987013102E-2</v>
      </c>
      <c r="N63" s="14">
        <v>23.88</v>
      </c>
      <c r="O63" s="14">
        <f t="shared" si="7"/>
        <v>1.6602809706258048E-2</v>
      </c>
      <c r="P63" s="14">
        <v>22.215644000000001</v>
      </c>
      <c r="Q63" s="14">
        <f t="shared" si="8"/>
        <v>4.6131976165363797E-2</v>
      </c>
      <c r="R63" s="14">
        <v>438.2</v>
      </c>
      <c r="S63" s="14">
        <f t="shared" si="9"/>
        <v>4.1052931673477122E-2</v>
      </c>
      <c r="T63" s="14">
        <v>35.630000000000003</v>
      </c>
      <c r="U63" s="14">
        <f t="shared" si="0"/>
        <v>2.9173887926054354E-2</v>
      </c>
      <c r="V63" s="14">
        <v>60888.558594000002</v>
      </c>
      <c r="W63">
        <f t="shared" si="10"/>
        <v>3.5113409799765738E-2</v>
      </c>
      <c r="Z63">
        <f t="shared" si="11"/>
        <v>2.6943108447750139E-2</v>
      </c>
      <c r="AA63">
        <f t="shared" si="12"/>
        <v>7.2451027811366395E-3</v>
      </c>
      <c r="AB63">
        <f t="shared" si="13"/>
        <v>1.0808722015544739E-2</v>
      </c>
      <c r="AC63">
        <f t="shared" si="14"/>
        <v>8.8892836510687627E-3</v>
      </c>
    </row>
    <row r="64" spans="1:29" x14ac:dyDescent="0.75">
      <c r="A64" s="1">
        <v>40662.041250000002</v>
      </c>
      <c r="B64" s="14">
        <v>25.4</v>
      </c>
      <c r="C64" s="14">
        <f t="shared" si="1"/>
        <v>1.3972055888223478E-2</v>
      </c>
      <c r="D64" s="14">
        <v>7.89</v>
      </c>
      <c r="E64" s="14">
        <f t="shared" si="2"/>
        <v>-6.0714285714285832E-2</v>
      </c>
      <c r="F64" s="14">
        <v>51</v>
      </c>
      <c r="G64" s="14">
        <f t="shared" si="3"/>
        <v>9.9009900990099098E-3</v>
      </c>
      <c r="H64" s="14">
        <v>40.940984</v>
      </c>
      <c r="I64" s="14">
        <f t="shared" si="4"/>
        <v>-5.3193607124475073E-2</v>
      </c>
      <c r="J64" s="14">
        <v>57.97</v>
      </c>
      <c r="K64" s="14">
        <f t="shared" si="5"/>
        <v>3.5548410146480913E-2</v>
      </c>
      <c r="L64" s="14">
        <v>23.05</v>
      </c>
      <c r="M64" s="14">
        <f t="shared" si="6"/>
        <v>-7.6522435897435903E-2</v>
      </c>
      <c r="N64" s="14">
        <v>25.05</v>
      </c>
      <c r="O64" s="14">
        <f t="shared" si="7"/>
        <v>4.8994974874371877E-2</v>
      </c>
      <c r="P64" s="14">
        <v>21.471104</v>
      </c>
      <c r="Q64" s="14">
        <f t="shared" si="8"/>
        <v>-3.3514220879664824E-2</v>
      </c>
      <c r="R64" s="14">
        <v>448.26</v>
      </c>
      <c r="S64" s="14">
        <f t="shared" si="9"/>
        <v>2.2957553628480065E-2</v>
      </c>
      <c r="T64" s="14">
        <v>36.06</v>
      </c>
      <c r="U64" s="14">
        <f t="shared" si="0"/>
        <v>1.2068481616615223E-2</v>
      </c>
      <c r="V64" s="14">
        <v>60819.308594000002</v>
      </c>
      <c r="W64">
        <f t="shared" si="10"/>
        <v>1.7513017622547644E-2</v>
      </c>
      <c r="Z64">
        <f t="shared" si="11"/>
        <v>-3.2158329889237142E-2</v>
      </c>
      <c r="AA64">
        <f t="shared" si="12"/>
        <v>-2.7983214285714337E-2</v>
      </c>
      <c r="AB64">
        <f t="shared" si="13"/>
        <v>-7.8523819521054694E-3</v>
      </c>
      <c r="AC64">
        <f t="shared" si="14"/>
        <v>3.6772663485826586E-3</v>
      </c>
    </row>
    <row r="65" spans="1:29" x14ac:dyDescent="0.75">
      <c r="A65" s="1">
        <v>40694.041250000002</v>
      </c>
      <c r="B65" s="14">
        <v>26.92</v>
      </c>
      <c r="C65" s="14">
        <f t="shared" si="1"/>
        <v>5.9842519685039397E-2</v>
      </c>
      <c r="D65" s="14">
        <v>7.89</v>
      </c>
      <c r="E65" s="14">
        <f t="shared" si="2"/>
        <v>0</v>
      </c>
      <c r="F65" s="14">
        <v>54.33</v>
      </c>
      <c r="G65" s="14">
        <f t="shared" si="3"/>
        <v>6.5294117647058725E-2</v>
      </c>
      <c r="H65" s="14">
        <v>40.427939000000002</v>
      </c>
      <c r="I65" s="14">
        <f t="shared" si="4"/>
        <v>-1.2531330463381063E-2</v>
      </c>
      <c r="J65" s="14">
        <v>53.94</v>
      </c>
      <c r="K65" s="14">
        <f t="shared" si="5"/>
        <v>-6.9518716577540163E-2</v>
      </c>
      <c r="L65" s="14">
        <v>20.83</v>
      </c>
      <c r="M65" s="14">
        <f t="shared" si="6"/>
        <v>-9.6312364425162778E-2</v>
      </c>
      <c r="N65" s="14">
        <v>24.95</v>
      </c>
      <c r="O65" s="14">
        <f t="shared" si="7"/>
        <v>-3.9920159680639777E-3</v>
      </c>
      <c r="P65" s="14">
        <v>20.476372999999999</v>
      </c>
      <c r="Q65" s="14">
        <f t="shared" si="8"/>
        <v>-4.6328824079097219E-2</v>
      </c>
      <c r="R65" s="14">
        <v>450.54</v>
      </c>
      <c r="S65" s="14">
        <f t="shared" si="9"/>
        <v>5.0863338241200484E-3</v>
      </c>
      <c r="T65" s="14">
        <v>35.200000000000003</v>
      </c>
      <c r="U65" s="14">
        <f t="shared" si="0"/>
        <v>-2.3849140321686058E-2</v>
      </c>
      <c r="V65" s="14">
        <v>60568.929687999997</v>
      </c>
      <c r="W65">
        <f t="shared" si="10"/>
        <v>-9.3814032487830046E-3</v>
      </c>
      <c r="Z65">
        <f t="shared" si="11"/>
        <v>-1.8121676537750223E-2</v>
      </c>
      <c r="AA65">
        <f t="shared" si="12"/>
        <v>0</v>
      </c>
      <c r="AB65">
        <f t="shared" si="13"/>
        <v>-1.085484348173248E-2</v>
      </c>
      <c r="AC65">
        <f t="shared" si="14"/>
        <v>-7.266833056017742E-3</v>
      </c>
    </row>
    <row r="66" spans="1:29" x14ac:dyDescent="0.75">
      <c r="A66" s="1">
        <v>40724.041250000002</v>
      </c>
      <c r="B66" s="14">
        <v>27.13</v>
      </c>
      <c r="C66" s="14">
        <f t="shared" si="1"/>
        <v>7.8008915304605964E-3</v>
      </c>
      <c r="D66" s="14">
        <v>7.95</v>
      </c>
      <c r="E66" s="14">
        <f t="shared" si="2"/>
        <v>7.6045627376426506E-3</v>
      </c>
      <c r="F66" s="14">
        <v>57.98</v>
      </c>
      <c r="G66" s="14">
        <f t="shared" si="3"/>
        <v>6.7182035707712195E-2</v>
      </c>
      <c r="H66" s="14">
        <v>41.103448999999998</v>
      </c>
      <c r="I66" s="14">
        <f t="shared" si="4"/>
        <v>1.6708989295744159E-2</v>
      </c>
      <c r="J66" s="14">
        <v>53.3</v>
      </c>
      <c r="K66" s="14">
        <f t="shared" si="5"/>
        <v>-1.1865035224323361E-2</v>
      </c>
      <c r="L66" s="14">
        <v>24.28</v>
      </c>
      <c r="M66" s="14">
        <f t="shared" si="6"/>
        <v>0.16562650024003855</v>
      </c>
      <c r="N66" s="14">
        <v>25.17</v>
      </c>
      <c r="O66" s="14">
        <f t="shared" si="7"/>
        <v>8.8176352705411354E-3</v>
      </c>
      <c r="P66" s="14">
        <v>23.222432000000001</v>
      </c>
      <c r="Q66" s="14">
        <f t="shared" si="8"/>
        <v>0.1341086627011534</v>
      </c>
      <c r="R66" s="14">
        <v>441.34</v>
      </c>
      <c r="S66" s="14">
        <f t="shared" si="9"/>
        <v>-2.0419940515825519E-2</v>
      </c>
      <c r="T66" s="14">
        <v>34.69</v>
      </c>
      <c r="U66" s="14">
        <f t="shared" ref="U66:U129" si="15">+T66/T65-1</f>
        <v>-1.4488636363636509E-2</v>
      </c>
      <c r="V66" s="14">
        <v>61045.089844000002</v>
      </c>
      <c r="W66">
        <f t="shared" si="10"/>
        <v>-1.7454288439731014E-2</v>
      </c>
      <c r="Z66">
        <f t="shared" si="11"/>
        <v>3.0511915136659695E-2</v>
      </c>
      <c r="AA66">
        <f t="shared" si="12"/>
        <v>3.5049429657794976E-3</v>
      </c>
      <c r="AB66">
        <f t="shared" si="13"/>
        <v>3.1421659670880245E-2</v>
      </c>
      <c r="AC66">
        <f t="shared" si="14"/>
        <v>-4.4146875000000444E-3</v>
      </c>
    </row>
    <row r="67" spans="1:29" x14ac:dyDescent="0.75">
      <c r="A67" s="1">
        <v>40753.041250000002</v>
      </c>
      <c r="B67" s="14">
        <v>28.24</v>
      </c>
      <c r="C67" s="14">
        <f t="shared" ref="C67:C130" si="16">+B67/B66-1</f>
        <v>4.0914117213416867E-2</v>
      </c>
      <c r="D67" s="14">
        <v>6.53</v>
      </c>
      <c r="E67" s="14">
        <f t="shared" ref="E67:E130" si="17">+D67/D66-1</f>
        <v>-0.17861635220125782</v>
      </c>
      <c r="F67" s="14">
        <v>52</v>
      </c>
      <c r="G67" s="14">
        <f t="shared" ref="G67:G130" si="18">+F67/F66-1</f>
        <v>-0.10313901345291476</v>
      </c>
      <c r="H67" s="14">
        <v>41.129100999999999</v>
      </c>
      <c r="I67" s="14">
        <f t="shared" ref="I67:I130" si="19">+H67/H66-1</f>
        <v>6.2408388162271677E-4</v>
      </c>
      <c r="J67" s="14">
        <v>51.29</v>
      </c>
      <c r="K67" s="14">
        <f t="shared" ref="K67:K130" si="20">+J67/J66-1</f>
        <v>-3.7711069418386423E-2</v>
      </c>
      <c r="L67" s="14">
        <v>24.76</v>
      </c>
      <c r="M67" s="14">
        <f t="shared" ref="M67:M130" si="21">+L67/L66-1</f>
        <v>1.976935749588149E-2</v>
      </c>
      <c r="N67" s="14">
        <v>25.2</v>
      </c>
      <c r="O67" s="14">
        <f t="shared" ref="O67:O130" si="22">+N67/N66-1</f>
        <v>1.1918951132299238E-3</v>
      </c>
      <c r="P67" s="14">
        <v>22.125214</v>
      </c>
      <c r="Q67" s="14">
        <f t="shared" ref="Q67:Q130" si="23">+P67/P66-1</f>
        <v>-4.7248195193337228E-2</v>
      </c>
      <c r="R67" s="14">
        <v>506.19</v>
      </c>
      <c r="S67" s="14">
        <f t="shared" ref="S67:S130" si="24">+R67/R66-1</f>
        <v>0.14693886799293066</v>
      </c>
      <c r="T67" s="14">
        <v>32.380000000000003</v>
      </c>
      <c r="U67" s="14">
        <f t="shared" si="15"/>
        <v>-6.6589795330066148E-2</v>
      </c>
      <c r="V67" s="14">
        <v>60785.621094000002</v>
      </c>
      <c r="W67">
        <f t="shared" si="10"/>
        <v>4.0174536331432253E-2</v>
      </c>
      <c r="Z67">
        <f t="shared" si="11"/>
        <v>-0.11368443950042979</v>
      </c>
      <c r="AA67">
        <f t="shared" si="12"/>
        <v>-8.232427672955972E-2</v>
      </c>
      <c r="AB67">
        <f t="shared" si="13"/>
        <v>-1.1070252133798912E-2</v>
      </c>
      <c r="AC67">
        <f t="shared" si="14"/>
        <v>-2.0289910637071158E-2</v>
      </c>
    </row>
    <row r="68" spans="1:29" x14ac:dyDescent="0.75">
      <c r="A68" s="1">
        <v>40786.041250000002</v>
      </c>
      <c r="B68" s="14">
        <v>24.17</v>
      </c>
      <c r="C68" s="14">
        <f t="shared" si="16"/>
        <v>-0.14412181303116134</v>
      </c>
      <c r="D68" s="14">
        <v>5.26</v>
      </c>
      <c r="E68" s="14">
        <f t="shared" si="17"/>
        <v>-0.19448698315467083</v>
      </c>
      <c r="F68" s="14">
        <v>50.01</v>
      </c>
      <c r="G68" s="14">
        <f t="shared" si="18"/>
        <v>-3.8269230769230833E-2</v>
      </c>
      <c r="H68" s="14">
        <v>40.940984</v>
      </c>
      <c r="I68" s="14">
        <f t="shared" si="19"/>
        <v>-4.5738174534862841E-3</v>
      </c>
      <c r="J68" s="14">
        <v>50.18</v>
      </c>
      <c r="K68" s="14">
        <f t="shared" si="20"/>
        <v>-2.1641645544940524E-2</v>
      </c>
      <c r="L68" s="14">
        <v>24.17</v>
      </c>
      <c r="M68" s="14">
        <f t="shared" si="21"/>
        <v>-2.3828756058158262E-2</v>
      </c>
      <c r="N68" s="14">
        <v>24.31</v>
      </c>
      <c r="O68" s="14">
        <f t="shared" si="22"/>
        <v>-3.5317460317460303E-2</v>
      </c>
      <c r="P68" s="14">
        <v>22.306073999999999</v>
      </c>
      <c r="Q68" s="14">
        <f t="shared" si="23"/>
        <v>8.1743842116057674E-3</v>
      </c>
      <c r="R68" s="14">
        <v>589.5</v>
      </c>
      <c r="S68" s="14">
        <f t="shared" si="24"/>
        <v>0.16458246903336682</v>
      </c>
      <c r="T68" s="14">
        <v>32.770000000000003</v>
      </c>
      <c r="U68" s="14">
        <f t="shared" si="15"/>
        <v>1.2044471896232256E-2</v>
      </c>
      <c r="V68" s="14">
        <v>61637.539062999997</v>
      </c>
      <c r="W68">
        <f t="shared" ref="W68:W131" si="25">S68*$X$2+U68*$Y$2</f>
        <v>8.8313470464799537E-2</v>
      </c>
      <c r="Z68">
        <f t="shared" ref="Z68:Z131" si="26">SUM(AA68:AC68)</f>
        <v>-8.4053841728426573E-2</v>
      </c>
      <c r="AA68">
        <f t="shared" ref="AA68:AA131" si="27">$AA$2*E68</f>
        <v>-8.963905053598778E-2</v>
      </c>
      <c r="AB68">
        <f t="shared" ref="AB68:AB131" si="28">$AB$2*Q68</f>
        <v>1.9152582207792315E-3</v>
      </c>
      <c r="AC68">
        <f t="shared" ref="AC68:AC131" si="29">$AC$2*U68</f>
        <v>3.6699505867819689E-3</v>
      </c>
    </row>
    <row r="69" spans="1:29" x14ac:dyDescent="0.75">
      <c r="A69" s="1">
        <v>40816.041250000002</v>
      </c>
      <c r="B69" s="14">
        <v>26.39</v>
      </c>
      <c r="C69" s="14">
        <f t="shared" si="16"/>
        <v>9.1849400082747223E-2</v>
      </c>
      <c r="D69" s="14">
        <v>3.51</v>
      </c>
      <c r="E69" s="14">
        <f t="shared" si="17"/>
        <v>-0.33269961977186313</v>
      </c>
      <c r="F69" s="14">
        <v>51.5</v>
      </c>
      <c r="G69" s="14">
        <f t="shared" si="18"/>
        <v>2.9794041191761655E-2</v>
      </c>
      <c r="H69" s="14">
        <v>39.658372</v>
      </c>
      <c r="I69" s="14">
        <f t="shared" si="19"/>
        <v>-3.1328313945751751E-2</v>
      </c>
      <c r="J69" s="14">
        <v>41.16</v>
      </c>
      <c r="K69" s="14">
        <f t="shared" si="20"/>
        <v>-0.17975288959744928</v>
      </c>
      <c r="L69" s="14">
        <v>24.38</v>
      </c>
      <c r="M69" s="14">
        <f t="shared" si="21"/>
        <v>8.6884567645841848E-3</v>
      </c>
      <c r="N69" s="14">
        <v>24.44</v>
      </c>
      <c r="O69" s="14">
        <f t="shared" si="22"/>
        <v>5.3475935828877219E-3</v>
      </c>
      <c r="P69" s="14">
        <v>21.492204000000001</v>
      </c>
      <c r="Q69" s="14">
        <f t="shared" si="23"/>
        <v>-3.648647449120801E-2</v>
      </c>
      <c r="R69" s="14">
        <v>511.51</v>
      </c>
      <c r="S69" s="14">
        <f t="shared" si="24"/>
        <v>-0.13229855810008484</v>
      </c>
      <c r="T69" s="14">
        <v>31.96</v>
      </c>
      <c r="U69" s="14">
        <f t="shared" si="15"/>
        <v>-2.471772963075991E-2</v>
      </c>
      <c r="V69" s="14">
        <v>62544.558594000002</v>
      </c>
      <c r="W69">
        <f t="shared" si="25"/>
        <v>-7.8508143865422375E-2</v>
      </c>
      <c r="Z69">
        <f t="shared" si="26"/>
        <v>-0.1694215279446343</v>
      </c>
      <c r="AA69">
        <f t="shared" si="27"/>
        <v>-0.15334125475285171</v>
      </c>
      <c r="AB69">
        <f t="shared" si="28"/>
        <v>-8.5487809732900377E-3</v>
      </c>
      <c r="AC69">
        <f t="shared" si="29"/>
        <v>-7.5314922184925451E-3</v>
      </c>
    </row>
    <row r="70" spans="1:29" x14ac:dyDescent="0.75">
      <c r="A70" s="1">
        <v>40847.041250000002</v>
      </c>
      <c r="B70" s="14">
        <v>27.41</v>
      </c>
      <c r="C70" s="14">
        <f t="shared" si="16"/>
        <v>3.8651004168245517E-2</v>
      </c>
      <c r="D70" s="14">
        <v>4.58</v>
      </c>
      <c r="E70" s="14">
        <f t="shared" si="17"/>
        <v>0.30484330484330502</v>
      </c>
      <c r="F70" s="14">
        <v>54.99</v>
      </c>
      <c r="G70" s="14">
        <f t="shared" si="18"/>
        <v>6.7766990291262097E-2</v>
      </c>
      <c r="H70" s="14">
        <v>39.846488999999998</v>
      </c>
      <c r="I70" s="14">
        <f t="shared" si="19"/>
        <v>4.743437274732365E-3</v>
      </c>
      <c r="J70" s="14">
        <v>45.51</v>
      </c>
      <c r="K70" s="14">
        <f t="shared" si="20"/>
        <v>0.10568513119533529</v>
      </c>
      <c r="L70" s="14">
        <v>26.05</v>
      </c>
      <c r="M70" s="14">
        <f t="shared" si="21"/>
        <v>6.849876948318312E-2</v>
      </c>
      <c r="N70" s="14">
        <v>24.47</v>
      </c>
      <c r="O70" s="14">
        <f t="shared" si="22"/>
        <v>1.2274959083469206E-3</v>
      </c>
      <c r="P70" s="14">
        <v>22.854683000000001</v>
      </c>
      <c r="Q70" s="14">
        <f t="shared" si="23"/>
        <v>6.3394103275773883E-2</v>
      </c>
      <c r="R70" s="14">
        <v>536.01</v>
      </c>
      <c r="S70" s="14">
        <f t="shared" si="24"/>
        <v>4.7897401810326201E-2</v>
      </c>
      <c r="T70" s="14">
        <v>34.409999999999997</v>
      </c>
      <c r="U70" s="14">
        <f t="shared" si="15"/>
        <v>7.6658322903629506E-2</v>
      </c>
      <c r="V70" s="14">
        <v>61743.921875</v>
      </c>
      <c r="W70">
        <f t="shared" si="25"/>
        <v>6.2277862356977853E-2</v>
      </c>
      <c r="Z70">
        <f t="shared" si="26"/>
        <v>0.17871330858852902</v>
      </c>
      <c r="AA70">
        <f t="shared" si="27"/>
        <v>0.14050227920227928</v>
      </c>
      <c r="AB70">
        <f t="shared" si="28"/>
        <v>1.4853238397513822E-2</v>
      </c>
      <c r="AC70">
        <f t="shared" si="29"/>
        <v>2.3357790988735912E-2</v>
      </c>
    </row>
    <row r="71" spans="1:29" x14ac:dyDescent="0.75">
      <c r="A71" s="1">
        <v>40877.041250000002</v>
      </c>
      <c r="B71" s="14">
        <v>28.11</v>
      </c>
      <c r="C71" s="14">
        <f t="shared" si="16"/>
        <v>2.553812477198103E-2</v>
      </c>
      <c r="D71" s="14">
        <v>5.01</v>
      </c>
      <c r="E71" s="14">
        <f t="shared" si="17"/>
        <v>9.38864628820959E-2</v>
      </c>
      <c r="F71" s="14">
        <v>56</v>
      </c>
      <c r="G71" s="14">
        <f t="shared" si="18"/>
        <v>1.8366975813784325E-2</v>
      </c>
      <c r="H71" s="14">
        <v>40.436489999999999</v>
      </c>
      <c r="I71" s="14">
        <f t="shared" si="19"/>
        <v>1.4806850360140844E-2</v>
      </c>
      <c r="J71" s="14">
        <v>46.94</v>
      </c>
      <c r="K71" s="14">
        <f t="shared" si="20"/>
        <v>3.1421665568007073E-2</v>
      </c>
      <c r="L71" s="14">
        <v>28.02</v>
      </c>
      <c r="M71" s="14">
        <f t="shared" si="21"/>
        <v>7.5623800383877171E-2</v>
      </c>
      <c r="N71" s="14">
        <v>24.77</v>
      </c>
      <c r="O71" s="14">
        <f t="shared" si="22"/>
        <v>1.2259910093992632E-2</v>
      </c>
      <c r="P71" s="14">
        <v>21.763494000000001</v>
      </c>
      <c r="Q71" s="14">
        <f t="shared" si="23"/>
        <v>-4.7744656970302279E-2</v>
      </c>
      <c r="R71" s="14">
        <v>620.92999999999995</v>
      </c>
      <c r="S71" s="14">
        <f t="shared" si="24"/>
        <v>0.15842988003955139</v>
      </c>
      <c r="T71" s="14">
        <v>36.9</v>
      </c>
      <c r="U71" s="14">
        <f t="shared" si="15"/>
        <v>7.2362685265911164E-2</v>
      </c>
      <c r="V71" s="14">
        <v>61672.351562999997</v>
      </c>
      <c r="W71">
        <f t="shared" si="25"/>
        <v>0.11539628265273127</v>
      </c>
      <c r="Z71">
        <f t="shared" si="26"/>
        <v>5.4134607814739305E-2</v>
      </c>
      <c r="AA71">
        <f t="shared" si="27"/>
        <v>4.3272270742357996E-2</v>
      </c>
      <c r="AB71">
        <f t="shared" si="28"/>
        <v>-1.1186573128141825E-2</v>
      </c>
      <c r="AC71">
        <f t="shared" si="29"/>
        <v>2.2048910200523134E-2</v>
      </c>
    </row>
    <row r="72" spans="1:29" x14ac:dyDescent="0.75">
      <c r="A72" s="1">
        <v>40907.041250000002</v>
      </c>
      <c r="B72" s="14">
        <v>28.47</v>
      </c>
      <c r="C72" s="14">
        <f t="shared" si="16"/>
        <v>1.2806830309498363E-2</v>
      </c>
      <c r="D72" s="14">
        <v>5.89</v>
      </c>
      <c r="E72" s="14">
        <f t="shared" si="17"/>
        <v>0.17564870259481036</v>
      </c>
      <c r="F72" s="14">
        <v>58</v>
      </c>
      <c r="G72" s="14">
        <f t="shared" si="18"/>
        <v>3.5714285714285809E-2</v>
      </c>
      <c r="H72" s="14">
        <v>40.385185999999997</v>
      </c>
      <c r="I72" s="14">
        <f t="shared" si="19"/>
        <v>-1.2687550279463222E-3</v>
      </c>
      <c r="J72" s="14">
        <v>42.32</v>
      </c>
      <c r="K72" s="14">
        <f t="shared" si="20"/>
        <v>-9.8423519386450775E-2</v>
      </c>
      <c r="L72" s="14">
        <v>26.4</v>
      </c>
      <c r="M72" s="14">
        <f t="shared" si="21"/>
        <v>-5.7815845824411127E-2</v>
      </c>
      <c r="N72" s="14">
        <v>24.89</v>
      </c>
      <c r="O72" s="14">
        <f t="shared" si="22"/>
        <v>4.8445700444086359E-3</v>
      </c>
      <c r="P72" s="14">
        <v>22.685880999999998</v>
      </c>
      <c r="Q72" s="14">
        <f t="shared" si="23"/>
        <v>4.2382303135700461E-2</v>
      </c>
      <c r="R72" s="14">
        <v>611.49</v>
      </c>
      <c r="S72" s="14">
        <f t="shared" si="24"/>
        <v>-1.5203001948689732E-2</v>
      </c>
      <c r="T72" s="14">
        <v>38.229999999999997</v>
      </c>
      <c r="U72" s="14">
        <f t="shared" si="15"/>
        <v>3.6043360433604343E-2</v>
      </c>
      <c r="V72" s="14">
        <v>60773.78125</v>
      </c>
      <c r="W72">
        <f t="shared" si="25"/>
        <v>1.0420179242457306E-2</v>
      </c>
      <c r="Z72">
        <f t="shared" si="26"/>
        <v>0.10186907257476194</v>
      </c>
      <c r="AA72">
        <f t="shared" si="27"/>
        <v>8.0956487025948085E-2</v>
      </c>
      <c r="AB72">
        <f t="shared" si="28"/>
        <v>9.9301736246946177E-3</v>
      </c>
      <c r="AC72">
        <f t="shared" si="29"/>
        <v>1.0982411924119244E-2</v>
      </c>
    </row>
    <row r="73" spans="1:29" x14ac:dyDescent="0.75">
      <c r="A73" s="1">
        <v>40939.041250000002</v>
      </c>
      <c r="B73" s="14">
        <v>29</v>
      </c>
      <c r="C73" s="14">
        <f t="shared" si="16"/>
        <v>1.8616087109237789E-2</v>
      </c>
      <c r="D73" s="14">
        <v>6.98</v>
      </c>
      <c r="E73" s="14">
        <f t="shared" si="17"/>
        <v>0.18505942275042453</v>
      </c>
      <c r="F73" s="14">
        <v>64</v>
      </c>
      <c r="G73" s="14">
        <f t="shared" si="18"/>
        <v>0.10344827586206895</v>
      </c>
      <c r="H73" s="14">
        <v>41.770406999999999</v>
      </c>
      <c r="I73" s="14">
        <f t="shared" si="19"/>
        <v>3.4300225830332876E-2</v>
      </c>
      <c r="J73" s="14">
        <v>51.94</v>
      </c>
      <c r="K73" s="14">
        <f t="shared" si="20"/>
        <v>0.22731568998109641</v>
      </c>
      <c r="L73" s="14">
        <v>28.84</v>
      </c>
      <c r="M73" s="14">
        <f t="shared" si="21"/>
        <v>9.242424242424252E-2</v>
      </c>
      <c r="N73" s="14">
        <v>25.54</v>
      </c>
      <c r="O73" s="14">
        <f t="shared" si="22"/>
        <v>2.6114905584571968E-2</v>
      </c>
      <c r="P73" s="14">
        <v>22.287987999999999</v>
      </c>
      <c r="Q73" s="14">
        <f t="shared" si="23"/>
        <v>-1.753923508635169E-2</v>
      </c>
      <c r="R73" s="14">
        <v>623.59</v>
      </c>
      <c r="S73" s="14">
        <f t="shared" si="24"/>
        <v>1.9787731606404124E-2</v>
      </c>
      <c r="T73" s="14">
        <v>40.270000000000003</v>
      </c>
      <c r="U73" s="14">
        <f t="shared" si="15"/>
        <v>5.3361234632487653E-2</v>
      </c>
      <c r="V73" s="14">
        <v>61308.199219000002</v>
      </c>
      <c r="W73">
        <f t="shared" si="25"/>
        <v>3.6574483119445889E-2</v>
      </c>
      <c r="Z73">
        <f t="shared" si="26"/>
        <v>9.7443613357457451E-2</v>
      </c>
      <c r="AA73">
        <f t="shared" si="27"/>
        <v>8.5293887945670666E-2</v>
      </c>
      <c r="AB73">
        <f t="shared" si="28"/>
        <v>-4.1094427807322007E-3</v>
      </c>
      <c r="AC73">
        <f t="shared" si="29"/>
        <v>1.6259168192518988E-2</v>
      </c>
    </row>
    <row r="74" spans="1:29" x14ac:dyDescent="0.75">
      <c r="A74" s="1">
        <v>40968.041250000002</v>
      </c>
      <c r="B74" s="14">
        <v>28.96</v>
      </c>
      <c r="C74" s="14">
        <f t="shared" si="16"/>
        <v>-1.3793103448275223E-3</v>
      </c>
      <c r="D74" s="14">
        <v>7.76</v>
      </c>
      <c r="E74" s="14">
        <f t="shared" si="17"/>
        <v>0.11174785100286533</v>
      </c>
      <c r="F74" s="14">
        <v>67.010000000000005</v>
      </c>
      <c r="G74" s="14">
        <f t="shared" si="18"/>
        <v>4.703125000000008E-2</v>
      </c>
      <c r="H74" s="14">
        <v>41.086347000000004</v>
      </c>
      <c r="I74" s="14">
        <f t="shared" si="19"/>
        <v>-1.6376665901292164E-2</v>
      </c>
      <c r="J74" s="14">
        <v>52.54</v>
      </c>
      <c r="K74" s="14">
        <f t="shared" si="20"/>
        <v>1.1551790527531747E-2</v>
      </c>
      <c r="L74" s="14">
        <v>31.42</v>
      </c>
      <c r="M74" s="14">
        <f t="shared" si="21"/>
        <v>8.9459084604715633E-2</v>
      </c>
      <c r="N74" s="14">
        <v>26.26</v>
      </c>
      <c r="O74" s="14">
        <f t="shared" si="22"/>
        <v>2.8191072826938335E-2</v>
      </c>
      <c r="P74" s="14">
        <v>21.416846</v>
      </c>
      <c r="Q74" s="14">
        <f t="shared" si="23"/>
        <v>-3.9085717382834173E-2</v>
      </c>
      <c r="R74" s="14">
        <v>637.41</v>
      </c>
      <c r="S74" s="14">
        <f t="shared" si="24"/>
        <v>2.2161997466283889E-2</v>
      </c>
      <c r="T74" s="14">
        <v>40.07</v>
      </c>
      <c r="U74" s="14">
        <f t="shared" si="15"/>
        <v>-4.9664762850758493E-3</v>
      </c>
      <c r="V74" s="14">
        <v>61511.949219000002</v>
      </c>
      <c r="W74">
        <f t="shared" si="25"/>
        <v>8.59776059060402E-3</v>
      </c>
      <c r="Z74">
        <f t="shared" si="26"/>
        <v>4.0833515620359966E-2</v>
      </c>
      <c r="AA74">
        <f t="shared" si="27"/>
        <v>5.1504584527220627E-2</v>
      </c>
      <c r="AB74">
        <f t="shared" si="28"/>
        <v>-9.1577835827980469E-3</v>
      </c>
      <c r="AC74">
        <f t="shared" si="29"/>
        <v>-1.5132853240626114E-3</v>
      </c>
    </row>
    <row r="75" spans="1:29" x14ac:dyDescent="0.75">
      <c r="A75" s="1">
        <v>40998.041250000002</v>
      </c>
      <c r="B75" s="14">
        <v>29.84</v>
      </c>
      <c r="C75" s="14">
        <f t="shared" si="16"/>
        <v>3.0386740331491691E-2</v>
      </c>
      <c r="D75" s="14">
        <v>8.1</v>
      </c>
      <c r="E75" s="14">
        <f t="shared" si="17"/>
        <v>4.3814432989690788E-2</v>
      </c>
      <c r="F75" s="14">
        <v>71</v>
      </c>
      <c r="G75" s="14">
        <f t="shared" si="18"/>
        <v>5.9543351738546413E-2</v>
      </c>
      <c r="H75" s="14">
        <v>40.427939000000002</v>
      </c>
      <c r="I75" s="14">
        <f t="shared" si="19"/>
        <v>-1.6024982702891544E-2</v>
      </c>
      <c r="J75" s="14">
        <v>56.98</v>
      </c>
      <c r="K75" s="14">
        <f t="shared" si="20"/>
        <v>8.4507042253521014E-2</v>
      </c>
      <c r="L75" s="14">
        <v>34.39</v>
      </c>
      <c r="M75" s="14">
        <f t="shared" si="21"/>
        <v>9.4525779758115824E-2</v>
      </c>
      <c r="N75" s="14">
        <v>26.49</v>
      </c>
      <c r="O75" s="14">
        <f t="shared" si="22"/>
        <v>8.7585681645085955E-3</v>
      </c>
      <c r="P75" s="14">
        <v>25.691172000000002</v>
      </c>
      <c r="Q75" s="14">
        <f t="shared" si="23"/>
        <v>0.1995777529520455</v>
      </c>
      <c r="R75" s="14">
        <v>620.41</v>
      </c>
      <c r="S75" s="14">
        <f t="shared" si="24"/>
        <v>-2.6670431904112002E-2</v>
      </c>
      <c r="T75" s="14">
        <v>43.06</v>
      </c>
      <c r="U75" s="14">
        <f t="shared" si="15"/>
        <v>7.4619416021961538E-2</v>
      </c>
      <c r="V75" s="14">
        <v>61145.488280999998</v>
      </c>
      <c r="W75">
        <f t="shared" si="25"/>
        <v>2.3974492058924768E-2</v>
      </c>
      <c r="Z75">
        <f t="shared" si="26"/>
        <v>8.9691675743504423E-2</v>
      </c>
      <c r="AA75">
        <f t="shared" si="27"/>
        <v>2.0194072164948482E-2</v>
      </c>
      <c r="AB75">
        <f t="shared" si="28"/>
        <v>4.6761067516664263E-2</v>
      </c>
      <c r="AC75">
        <f t="shared" si="29"/>
        <v>2.2736536061891681E-2</v>
      </c>
    </row>
    <row r="76" spans="1:29" x14ac:dyDescent="0.75">
      <c r="A76" s="1">
        <v>41029.041250000002</v>
      </c>
      <c r="B76" s="14">
        <v>31.04</v>
      </c>
      <c r="C76" s="14">
        <f t="shared" si="16"/>
        <v>4.0214477211796273E-2</v>
      </c>
      <c r="D76" s="14">
        <v>7.73</v>
      </c>
      <c r="E76" s="14">
        <f t="shared" si="17"/>
        <v>-4.5679012345678949E-2</v>
      </c>
      <c r="F76" s="14">
        <v>79</v>
      </c>
      <c r="G76" s="14">
        <f t="shared" si="18"/>
        <v>0.11267605633802824</v>
      </c>
      <c r="H76" s="14">
        <v>43.224034000000003</v>
      </c>
      <c r="I76" s="14">
        <f t="shared" si="19"/>
        <v>6.9162442339689933E-2</v>
      </c>
      <c r="J76" s="14">
        <v>63.11</v>
      </c>
      <c r="K76" s="14">
        <f t="shared" si="20"/>
        <v>0.10758160758160762</v>
      </c>
      <c r="L76" s="14">
        <v>36.1</v>
      </c>
      <c r="M76" s="14">
        <f t="shared" si="21"/>
        <v>4.9723756906077332E-2</v>
      </c>
      <c r="N76" s="14">
        <v>28.84</v>
      </c>
      <c r="O76" s="14">
        <f t="shared" si="22"/>
        <v>8.8712721781804449E-2</v>
      </c>
      <c r="P76" s="14">
        <v>24.018215999999999</v>
      </c>
      <c r="Q76" s="14">
        <f t="shared" si="23"/>
        <v>-6.5117932338781714E-2</v>
      </c>
      <c r="R76" s="14">
        <v>609.01</v>
      </c>
      <c r="S76" s="14">
        <f t="shared" si="24"/>
        <v>-1.8374945600489911E-2</v>
      </c>
      <c r="T76" s="14">
        <v>37.25</v>
      </c>
      <c r="U76" s="14">
        <f t="shared" si="15"/>
        <v>-0.13492800743149103</v>
      </c>
      <c r="V76" s="14">
        <v>61860.300780999998</v>
      </c>
      <c r="W76">
        <f t="shared" si="25"/>
        <v>-7.6651476515990469E-2</v>
      </c>
      <c r="Z76">
        <f t="shared" si="26"/>
        <v>-7.7423152201475304E-2</v>
      </c>
      <c r="AA76">
        <f t="shared" si="27"/>
        <v>-2.1053456790123427E-2</v>
      </c>
      <c r="AB76">
        <f t="shared" si="28"/>
        <v>-1.5257131546976556E-2</v>
      </c>
      <c r="AC76">
        <f t="shared" si="29"/>
        <v>-4.1112563864375319E-2</v>
      </c>
    </row>
    <row r="77" spans="1:29" x14ac:dyDescent="0.75">
      <c r="A77" s="1">
        <v>41060.041250000002</v>
      </c>
      <c r="B77" s="14">
        <v>31.14</v>
      </c>
      <c r="C77" s="14">
        <f t="shared" si="16"/>
        <v>3.221649484536071E-3</v>
      </c>
      <c r="D77" s="14">
        <v>6.59</v>
      </c>
      <c r="E77" s="14">
        <f t="shared" si="17"/>
        <v>-0.14747736093143604</v>
      </c>
      <c r="F77" s="14">
        <v>79</v>
      </c>
      <c r="G77" s="14">
        <f t="shared" si="18"/>
        <v>0</v>
      </c>
      <c r="H77" s="14">
        <v>43.412151000000001</v>
      </c>
      <c r="I77" s="14">
        <f t="shared" si="19"/>
        <v>4.3521389049434589E-3</v>
      </c>
      <c r="J77" s="14">
        <v>64.13</v>
      </c>
      <c r="K77" s="14">
        <f t="shared" si="20"/>
        <v>1.6162256377753037E-2</v>
      </c>
      <c r="L77" s="14">
        <v>31.38</v>
      </c>
      <c r="M77" s="14">
        <f t="shared" si="21"/>
        <v>-0.13074792243767319</v>
      </c>
      <c r="N77" s="14">
        <v>28.6</v>
      </c>
      <c r="O77" s="14">
        <f t="shared" si="22"/>
        <v>-8.3217753120665705E-3</v>
      </c>
      <c r="P77" s="14">
        <v>22.598465000000001</v>
      </c>
      <c r="Q77" s="14">
        <f t="shared" si="23"/>
        <v>-5.911142609426101E-2</v>
      </c>
      <c r="R77" s="14">
        <v>548.23</v>
      </c>
      <c r="S77" s="14">
        <f t="shared" si="24"/>
        <v>-9.9801316891348191E-2</v>
      </c>
      <c r="T77" s="14">
        <v>34.67</v>
      </c>
      <c r="U77" s="14">
        <f t="shared" si="15"/>
        <v>-6.9261744966442884E-2</v>
      </c>
      <c r="V77" s="14">
        <v>62795.238280999998</v>
      </c>
      <c r="W77">
        <f t="shared" si="25"/>
        <v>-8.4531530928895537E-2</v>
      </c>
      <c r="Z77">
        <f t="shared" si="26"/>
        <v>-0.10292617647845936</v>
      </c>
      <c r="AA77">
        <f t="shared" si="27"/>
        <v>-6.7972315653298865E-2</v>
      </c>
      <c r="AB77">
        <f t="shared" si="28"/>
        <v>-1.3849807133885355E-2</v>
      </c>
      <c r="AC77">
        <f t="shared" si="29"/>
        <v>-2.1104053691275149E-2</v>
      </c>
    </row>
    <row r="78" spans="1:29" x14ac:dyDescent="0.75">
      <c r="A78" s="1">
        <v>41089.041250000002</v>
      </c>
      <c r="B78" s="14">
        <v>32.75</v>
      </c>
      <c r="C78" s="14">
        <f t="shared" si="16"/>
        <v>5.1701991008349379E-2</v>
      </c>
      <c r="D78" s="14">
        <v>7.37</v>
      </c>
      <c r="E78" s="14">
        <f t="shared" si="17"/>
        <v>0.11836115326251906</v>
      </c>
      <c r="F78" s="14">
        <v>78.05</v>
      </c>
      <c r="G78" s="14">
        <f t="shared" si="18"/>
        <v>-1.2025316455696267E-2</v>
      </c>
      <c r="H78" s="14">
        <v>45.139401999999997</v>
      </c>
      <c r="I78" s="14">
        <f t="shared" si="19"/>
        <v>3.9787270619232817E-2</v>
      </c>
      <c r="J78" s="14">
        <v>69.150000000000006</v>
      </c>
      <c r="K78" s="14">
        <f t="shared" si="20"/>
        <v>7.8278496803368292E-2</v>
      </c>
      <c r="L78" s="14">
        <v>32.74</v>
      </c>
      <c r="M78" s="14">
        <f t="shared" si="21"/>
        <v>4.3339706819630397E-2</v>
      </c>
      <c r="N78" s="14">
        <v>30.67</v>
      </c>
      <c r="O78" s="14">
        <f t="shared" si="22"/>
        <v>7.2377622377622464E-2</v>
      </c>
      <c r="P78" s="14">
        <v>23.701711</v>
      </c>
      <c r="Q78" s="14">
        <f t="shared" si="23"/>
        <v>4.8819510528701704E-2</v>
      </c>
      <c r="R78" s="14">
        <v>574.47</v>
      </c>
      <c r="S78" s="14">
        <f t="shared" si="24"/>
        <v>4.786312314174701E-2</v>
      </c>
      <c r="T78" s="14">
        <v>35.75</v>
      </c>
      <c r="U78" s="14">
        <f t="shared" si="15"/>
        <v>3.1150850879723135E-2</v>
      </c>
      <c r="V78" s="14">
        <v>63352.851562999997</v>
      </c>
      <c r="W78">
        <f t="shared" si="25"/>
        <v>3.9506987010735073E-2</v>
      </c>
      <c r="Z78">
        <f t="shared" si="26"/>
        <v>7.5482731118621471E-2</v>
      </c>
      <c r="AA78">
        <f t="shared" si="27"/>
        <v>5.4552655538695032E-2</v>
      </c>
      <c r="AB78">
        <f t="shared" si="28"/>
        <v>1.143841131687481E-2</v>
      </c>
      <c r="AC78">
        <f t="shared" si="29"/>
        <v>9.4916642630516398E-3</v>
      </c>
    </row>
    <row r="79" spans="1:29" x14ac:dyDescent="0.75">
      <c r="A79" s="1">
        <v>41121.041250000002</v>
      </c>
      <c r="B79" s="14">
        <v>33.119999999999997</v>
      </c>
      <c r="C79" s="14">
        <f t="shared" si="16"/>
        <v>1.1297709923663968E-2</v>
      </c>
      <c r="D79" s="14">
        <v>7.63</v>
      </c>
      <c r="E79" s="14">
        <f t="shared" si="17"/>
        <v>3.5278154681139817E-2</v>
      </c>
      <c r="F79" s="14">
        <v>75</v>
      </c>
      <c r="G79" s="14">
        <f t="shared" si="18"/>
        <v>-3.9077514413837222E-2</v>
      </c>
      <c r="H79" s="14">
        <v>44.703313999999999</v>
      </c>
      <c r="I79" s="14">
        <f t="shared" si="19"/>
        <v>-9.6609166421831594E-3</v>
      </c>
      <c r="J79" s="14">
        <v>71.209999999999994</v>
      </c>
      <c r="K79" s="14">
        <f t="shared" si="20"/>
        <v>2.9790310918293317E-2</v>
      </c>
      <c r="L79" s="14">
        <v>34.799999999999997</v>
      </c>
      <c r="M79" s="14">
        <f t="shared" si="21"/>
        <v>6.2919975565057795E-2</v>
      </c>
      <c r="N79" s="14">
        <v>32.450000000000003</v>
      </c>
      <c r="O79" s="14">
        <f t="shared" si="22"/>
        <v>5.8037169872839911E-2</v>
      </c>
      <c r="P79" s="14">
        <v>25.139548999999999</v>
      </c>
      <c r="Q79" s="14">
        <f t="shared" si="23"/>
        <v>6.0663890467654413E-2</v>
      </c>
      <c r="R79" s="14">
        <v>548.01</v>
      </c>
      <c r="S79" s="14">
        <f t="shared" si="24"/>
        <v>-4.6059846467178533E-2</v>
      </c>
      <c r="T79" s="14">
        <v>37.67</v>
      </c>
      <c r="U79" s="14">
        <f t="shared" si="15"/>
        <v>5.3706293706293762E-2</v>
      </c>
      <c r="V79" s="14">
        <v>62889.859375</v>
      </c>
      <c r="W79">
        <f t="shared" si="25"/>
        <v>3.8232236195576141E-3</v>
      </c>
      <c r="Z79">
        <f t="shared" si="26"/>
        <v>4.6837558721416483E-2</v>
      </c>
      <c r="AA79">
        <f t="shared" si="27"/>
        <v>1.6259701492537342E-2</v>
      </c>
      <c r="AB79">
        <f t="shared" si="28"/>
        <v>1.421354953657143E-2</v>
      </c>
      <c r="AC79">
        <f t="shared" si="29"/>
        <v>1.6364307692307709E-2</v>
      </c>
    </row>
    <row r="80" spans="1:29" x14ac:dyDescent="0.75">
      <c r="A80" s="1">
        <v>41152.041250000002</v>
      </c>
      <c r="B80" s="14">
        <v>28.7</v>
      </c>
      <c r="C80" s="14">
        <f t="shared" si="16"/>
        <v>-0.13345410628019316</v>
      </c>
      <c r="D80" s="14">
        <v>8.01</v>
      </c>
      <c r="E80" s="14">
        <f t="shared" si="17"/>
        <v>4.9803407601572758E-2</v>
      </c>
      <c r="F80" s="14">
        <v>76</v>
      </c>
      <c r="G80" s="14">
        <f t="shared" si="18"/>
        <v>1.3333333333333419E-2</v>
      </c>
      <c r="H80" s="14">
        <v>44.506646000000003</v>
      </c>
      <c r="I80" s="14">
        <f t="shared" si="19"/>
        <v>-4.3994053774177866E-3</v>
      </c>
      <c r="J80" s="14">
        <v>67.27</v>
      </c>
      <c r="K80" s="14">
        <f t="shared" si="20"/>
        <v>-5.5329307681505346E-2</v>
      </c>
      <c r="L80" s="14">
        <v>35.89</v>
      </c>
      <c r="M80" s="14">
        <f t="shared" si="21"/>
        <v>3.1321839080459934E-2</v>
      </c>
      <c r="N80" s="14">
        <v>31.35</v>
      </c>
      <c r="O80" s="14">
        <f t="shared" si="22"/>
        <v>-3.3898305084745783E-2</v>
      </c>
      <c r="P80" s="14">
        <v>24.1</v>
      </c>
      <c r="Q80" s="14">
        <f t="shared" si="23"/>
        <v>-4.1351139592838204E-2</v>
      </c>
      <c r="R80" s="14">
        <v>538.66999999999996</v>
      </c>
      <c r="S80" s="14">
        <f t="shared" si="24"/>
        <v>-1.7043484607945136E-2</v>
      </c>
      <c r="T80" s="14">
        <v>35.19</v>
      </c>
      <c r="U80" s="14">
        <f t="shared" si="15"/>
        <v>-6.5834881868861217E-2</v>
      </c>
      <c r="V80" s="14">
        <v>62769.179687999997</v>
      </c>
      <c r="W80">
        <f t="shared" si="25"/>
        <v>-4.1439183238403177E-2</v>
      </c>
      <c r="Z80">
        <f t="shared" si="26"/>
        <v>-6.7940699484791232E-3</v>
      </c>
      <c r="AA80">
        <f t="shared" si="27"/>
        <v>2.2954390563564884E-2</v>
      </c>
      <c r="AB80">
        <f t="shared" si="28"/>
        <v>-9.688572006601991E-3</v>
      </c>
      <c r="AC80">
        <f t="shared" si="29"/>
        <v>-2.0059888505442016E-2</v>
      </c>
    </row>
    <row r="81" spans="1:29" x14ac:dyDescent="0.75">
      <c r="A81" s="1">
        <v>41180.041250000002</v>
      </c>
      <c r="B81" s="14">
        <v>32.04</v>
      </c>
      <c r="C81" s="14">
        <f t="shared" si="16"/>
        <v>0.11637630662020904</v>
      </c>
      <c r="D81" s="14">
        <v>8.8000000000000007</v>
      </c>
      <c r="E81" s="14">
        <f t="shared" si="17"/>
        <v>9.8626716604244713E-2</v>
      </c>
      <c r="F81" s="14">
        <v>80.5</v>
      </c>
      <c r="G81" s="14">
        <f t="shared" si="18"/>
        <v>5.921052631578938E-2</v>
      </c>
      <c r="H81" s="14">
        <v>47.831000000000003</v>
      </c>
      <c r="I81" s="14">
        <f t="shared" si="19"/>
        <v>7.4693428931939643E-2</v>
      </c>
      <c r="J81" s="14">
        <v>72.760000000000005</v>
      </c>
      <c r="K81" s="14">
        <f t="shared" si="20"/>
        <v>8.1611416679054694E-2</v>
      </c>
      <c r="L81" s="14">
        <v>36.42</v>
      </c>
      <c r="M81" s="14">
        <f t="shared" si="21"/>
        <v>1.4767344664252002E-2</v>
      </c>
      <c r="N81" s="14">
        <v>33.119999999999997</v>
      </c>
      <c r="O81" s="14">
        <f t="shared" si="22"/>
        <v>5.6459330143540543E-2</v>
      </c>
      <c r="P81" s="14">
        <v>27.807234999999999</v>
      </c>
      <c r="Q81" s="14">
        <f t="shared" si="23"/>
        <v>0.15382717842323634</v>
      </c>
      <c r="R81" s="14">
        <v>634.08000000000004</v>
      </c>
      <c r="S81" s="14">
        <f t="shared" si="24"/>
        <v>0.17712142870403036</v>
      </c>
      <c r="T81" s="14">
        <v>36.21</v>
      </c>
      <c r="U81" s="14">
        <f t="shared" si="15"/>
        <v>2.898550724637694E-2</v>
      </c>
      <c r="V81" s="14">
        <v>62153.300780999998</v>
      </c>
      <c r="W81">
        <f t="shared" si="25"/>
        <v>0.10305346797520365</v>
      </c>
      <c r="Z81">
        <f t="shared" si="26"/>
        <v>9.0330645645431723E-2</v>
      </c>
      <c r="AA81">
        <f t="shared" si="27"/>
        <v>4.5457053682896383E-2</v>
      </c>
      <c r="AB81">
        <f t="shared" si="28"/>
        <v>3.6041707904564277E-2</v>
      </c>
      <c r="AC81">
        <f t="shared" si="29"/>
        <v>8.831884057971055E-3</v>
      </c>
    </row>
    <row r="82" spans="1:29" x14ac:dyDescent="0.75">
      <c r="A82" s="1">
        <v>41213.041250000002</v>
      </c>
      <c r="B82" s="14">
        <v>30.5</v>
      </c>
      <c r="C82" s="14">
        <f t="shared" si="16"/>
        <v>-4.8064918851435712E-2</v>
      </c>
      <c r="D82" s="14">
        <v>9.76</v>
      </c>
      <c r="E82" s="14">
        <f t="shared" si="17"/>
        <v>0.10909090909090891</v>
      </c>
      <c r="F82" s="14">
        <v>90</v>
      </c>
      <c r="G82" s="14">
        <f t="shared" si="18"/>
        <v>0.11801242236024834</v>
      </c>
      <c r="H82" s="14">
        <v>55.307623999999997</v>
      </c>
      <c r="I82" s="14">
        <f t="shared" si="19"/>
        <v>0.15631335326461904</v>
      </c>
      <c r="J82" s="14">
        <v>72.75</v>
      </c>
      <c r="K82" s="14">
        <f t="shared" si="20"/>
        <v>-1.374381528312929E-4</v>
      </c>
      <c r="L82" s="14">
        <v>38.21</v>
      </c>
      <c r="M82" s="14">
        <f t="shared" si="21"/>
        <v>4.9148819330038451E-2</v>
      </c>
      <c r="N82" s="14">
        <v>35.47</v>
      </c>
      <c r="O82" s="14">
        <f t="shared" si="22"/>
        <v>7.0954106280193274E-2</v>
      </c>
      <c r="P82" s="14">
        <v>28.43</v>
      </c>
      <c r="Q82" s="14">
        <f t="shared" si="23"/>
        <v>2.2395790160366635E-2</v>
      </c>
      <c r="R82" s="14">
        <v>652.35</v>
      </c>
      <c r="S82" s="14">
        <f t="shared" si="24"/>
        <v>2.8813398940196855E-2</v>
      </c>
      <c r="T82" s="14">
        <v>38.67</v>
      </c>
      <c r="U82" s="14">
        <f t="shared" si="15"/>
        <v>6.7937033968517024E-2</v>
      </c>
      <c r="V82" s="14">
        <v>62390.730469000002</v>
      </c>
      <c r="W82">
        <f t="shared" si="25"/>
        <v>4.837521645435694E-2</v>
      </c>
      <c r="Z82">
        <f t="shared" si="26"/>
        <v>7.6227747884780955E-2</v>
      </c>
      <c r="AA82">
        <f t="shared" si="27"/>
        <v>5.0279999999999915E-2</v>
      </c>
      <c r="AB82">
        <f t="shared" si="28"/>
        <v>5.2473336345739028E-3</v>
      </c>
      <c r="AC82">
        <f t="shared" si="29"/>
        <v>2.070041425020714E-2</v>
      </c>
    </row>
    <row r="83" spans="1:29" x14ac:dyDescent="0.75">
      <c r="A83" s="1">
        <v>41243.041250000002</v>
      </c>
      <c r="B83" s="14">
        <v>30.5</v>
      </c>
      <c r="C83" s="14">
        <f t="shared" si="16"/>
        <v>0</v>
      </c>
      <c r="D83" s="14">
        <v>9.4700000000000006</v>
      </c>
      <c r="E83" s="14">
        <f t="shared" si="17"/>
        <v>-2.9713114754098324E-2</v>
      </c>
      <c r="F83" s="14">
        <v>92.77</v>
      </c>
      <c r="G83" s="14">
        <f t="shared" si="18"/>
        <v>3.0777777777777793E-2</v>
      </c>
      <c r="H83" s="14">
        <v>58.446396</v>
      </c>
      <c r="I83" s="14">
        <f t="shared" si="19"/>
        <v>5.6751163275428507E-2</v>
      </c>
      <c r="J83" s="14">
        <v>74.12</v>
      </c>
      <c r="K83" s="14">
        <f t="shared" si="20"/>
        <v>1.883161512027498E-2</v>
      </c>
      <c r="L83" s="14">
        <v>36.520000000000003</v>
      </c>
      <c r="M83" s="14">
        <f t="shared" si="21"/>
        <v>-4.4229259356189377E-2</v>
      </c>
      <c r="N83" s="14">
        <v>36.04</v>
      </c>
      <c r="O83" s="14">
        <f t="shared" si="22"/>
        <v>1.6069918240766867E-2</v>
      </c>
      <c r="P83" s="14">
        <v>28.340772000000001</v>
      </c>
      <c r="Q83" s="14">
        <f t="shared" si="23"/>
        <v>-3.1385156524796898E-3</v>
      </c>
      <c r="R83" s="14">
        <v>646.13</v>
      </c>
      <c r="S83" s="14">
        <f t="shared" si="24"/>
        <v>-9.5347589484172657E-3</v>
      </c>
      <c r="T83" s="14">
        <v>40.57</v>
      </c>
      <c r="U83" s="14">
        <f t="shared" si="15"/>
        <v>4.9133695371088582E-2</v>
      </c>
      <c r="V83" s="14">
        <v>63378.511719000002</v>
      </c>
      <c r="W83">
        <f t="shared" si="25"/>
        <v>1.9799468211335658E-2</v>
      </c>
      <c r="Z83">
        <f t="shared" si="26"/>
        <v>5.4090817203078338E-4</v>
      </c>
      <c r="AA83">
        <f t="shared" si="27"/>
        <v>-1.3694774590163918E-2</v>
      </c>
      <c r="AB83">
        <f t="shared" si="28"/>
        <v>-7.3535421737599136E-4</v>
      </c>
      <c r="AC83">
        <f t="shared" si="29"/>
        <v>1.4971036979570692E-2</v>
      </c>
    </row>
    <row r="84" spans="1:29" x14ac:dyDescent="0.75">
      <c r="A84" s="1">
        <v>41274.041250000002</v>
      </c>
      <c r="B84" s="14">
        <v>33.47</v>
      </c>
      <c r="C84" s="14">
        <f t="shared" si="16"/>
        <v>9.7377049180327857E-2</v>
      </c>
      <c r="D84" s="14">
        <v>10.44</v>
      </c>
      <c r="E84" s="14">
        <f t="shared" si="17"/>
        <v>0.10242872228088684</v>
      </c>
      <c r="F84" s="14">
        <v>97</v>
      </c>
      <c r="G84" s="14">
        <f t="shared" si="18"/>
        <v>4.5596636843807214E-2</v>
      </c>
      <c r="H84" s="14">
        <v>64.865007000000006</v>
      </c>
      <c r="I84" s="14">
        <f t="shared" si="19"/>
        <v>0.10982047550032004</v>
      </c>
      <c r="J84" s="14">
        <v>83.45</v>
      </c>
      <c r="K84" s="14">
        <f t="shared" si="20"/>
        <v>0.12587695628710205</v>
      </c>
      <c r="L84" s="14">
        <v>39.17</v>
      </c>
      <c r="M84" s="14">
        <f t="shared" si="21"/>
        <v>7.2562979189485066E-2</v>
      </c>
      <c r="N84" s="14">
        <v>39.700000000000003</v>
      </c>
      <c r="O84" s="14">
        <f t="shared" si="22"/>
        <v>0.10155382907880139</v>
      </c>
      <c r="P84" s="14">
        <v>29.805738000000002</v>
      </c>
      <c r="Q84" s="14">
        <f t="shared" si="23"/>
        <v>5.1691111307765381E-2</v>
      </c>
      <c r="R84" s="14">
        <v>650.92999999999995</v>
      </c>
      <c r="S84" s="14">
        <f t="shared" si="24"/>
        <v>7.4288455883491089E-3</v>
      </c>
      <c r="T84" s="14">
        <v>42.33</v>
      </c>
      <c r="U84" s="14">
        <f t="shared" si="15"/>
        <v>4.3381809218634437E-2</v>
      </c>
      <c r="V84" s="14">
        <v>63093.121094000002</v>
      </c>
      <c r="W84">
        <f t="shared" si="25"/>
        <v>2.5405327403491773E-2</v>
      </c>
      <c r="Z84">
        <f t="shared" si="26"/>
        <v>7.253906274758809E-2</v>
      </c>
      <c r="AA84">
        <f t="shared" si="27"/>
        <v>4.7209398099260745E-2</v>
      </c>
      <c r="AB84">
        <f t="shared" si="28"/>
        <v>1.211122737940943E-2</v>
      </c>
      <c r="AC84">
        <f t="shared" si="29"/>
        <v>1.3218437268917914E-2</v>
      </c>
    </row>
    <row r="85" spans="1:29" x14ac:dyDescent="0.75">
      <c r="A85" s="1">
        <v>41305.041250000002</v>
      </c>
      <c r="B85" s="14">
        <v>32.880000000000003</v>
      </c>
      <c r="C85" s="14">
        <f t="shared" si="16"/>
        <v>-1.7627726322079318E-2</v>
      </c>
      <c r="D85" s="14">
        <v>11.4</v>
      </c>
      <c r="E85" s="14">
        <f t="shared" si="17"/>
        <v>9.1954022988505857E-2</v>
      </c>
      <c r="F85" s="14">
        <v>93.5</v>
      </c>
      <c r="G85" s="14">
        <f t="shared" si="18"/>
        <v>-3.6082474226804107E-2</v>
      </c>
      <c r="H85" s="14">
        <v>69.846485000000001</v>
      </c>
      <c r="I85" s="14">
        <f t="shared" si="19"/>
        <v>7.6797617550553809E-2</v>
      </c>
      <c r="J85" s="14">
        <v>87.67</v>
      </c>
      <c r="K85" s="14">
        <f t="shared" si="20"/>
        <v>5.0569203115638173E-2</v>
      </c>
      <c r="L85" s="14">
        <v>42.46</v>
      </c>
      <c r="M85" s="14">
        <f t="shared" si="21"/>
        <v>8.3992851672198166E-2</v>
      </c>
      <c r="N85" s="14">
        <v>40.18</v>
      </c>
      <c r="O85" s="14">
        <f t="shared" si="22"/>
        <v>1.2090680100755646E-2</v>
      </c>
      <c r="P85" s="14">
        <v>32.184047999999997</v>
      </c>
      <c r="Q85" s="14">
        <f t="shared" si="23"/>
        <v>7.9793696099724087E-2</v>
      </c>
      <c r="R85" s="14">
        <v>624.52</v>
      </c>
      <c r="S85" s="14">
        <f t="shared" si="24"/>
        <v>-4.0572719032768489E-2</v>
      </c>
      <c r="T85" s="14">
        <v>41.22</v>
      </c>
      <c r="U85" s="14">
        <f t="shared" si="15"/>
        <v>-2.6222537207654106E-2</v>
      </c>
      <c r="V85" s="14">
        <v>63376.128905999998</v>
      </c>
      <c r="W85">
        <f t="shared" si="25"/>
        <v>-3.3397628120211298E-2</v>
      </c>
      <c r="Z85">
        <f t="shared" si="26"/>
        <v>5.3087265104395494E-2</v>
      </c>
      <c r="AA85">
        <f t="shared" si="27"/>
        <v>4.2381609195402348E-2</v>
      </c>
      <c r="AB85">
        <f t="shared" si="28"/>
        <v>1.8695662996165353E-2</v>
      </c>
      <c r="AC85">
        <f t="shared" si="29"/>
        <v>-7.9900070871722073E-3</v>
      </c>
    </row>
    <row r="86" spans="1:29" x14ac:dyDescent="0.75">
      <c r="A86" s="1">
        <v>41333.041250000002</v>
      </c>
      <c r="B86" s="14">
        <v>34.67</v>
      </c>
      <c r="C86" s="14">
        <f t="shared" si="16"/>
        <v>5.4440389294403868E-2</v>
      </c>
      <c r="D86" s="14">
        <v>11.28</v>
      </c>
      <c r="E86" s="14">
        <f t="shared" si="17"/>
        <v>-1.0526315789473717E-2</v>
      </c>
      <c r="F86" s="14">
        <v>91.5</v>
      </c>
      <c r="G86" s="14">
        <f t="shared" si="18"/>
        <v>-2.1390374331550777E-2</v>
      </c>
      <c r="H86" s="14">
        <v>69.608431999999993</v>
      </c>
      <c r="I86" s="14">
        <f t="shared" si="19"/>
        <v>-3.4082316382851863E-3</v>
      </c>
      <c r="J86" s="14">
        <v>94.84</v>
      </c>
      <c r="K86" s="14">
        <f t="shared" si="20"/>
        <v>8.1783962586973846E-2</v>
      </c>
      <c r="L86" s="14">
        <v>44.99</v>
      </c>
      <c r="M86" s="14">
        <f t="shared" si="21"/>
        <v>5.9585492227979264E-2</v>
      </c>
      <c r="N86" s="14">
        <v>38.65</v>
      </c>
      <c r="O86" s="14">
        <f t="shared" si="22"/>
        <v>-3.8078646092583379E-2</v>
      </c>
      <c r="P86" s="14">
        <v>36.578947999999997</v>
      </c>
      <c r="Q86" s="14">
        <f t="shared" si="23"/>
        <v>0.13655522760841032</v>
      </c>
      <c r="R86" s="14">
        <v>589.61</v>
      </c>
      <c r="S86" s="14">
        <f t="shared" si="24"/>
        <v>-5.5898930378530665E-2</v>
      </c>
      <c r="T86" s="14">
        <v>40.130000000000003</v>
      </c>
      <c r="U86" s="14">
        <f t="shared" si="15"/>
        <v>-2.64434740417272E-2</v>
      </c>
      <c r="V86" s="14">
        <v>63094.011719000002</v>
      </c>
      <c r="W86">
        <f t="shared" si="25"/>
        <v>-4.1171202210128932E-2</v>
      </c>
      <c r="Z86">
        <f t="shared" si="26"/>
        <v>1.9085984340767827E-2</v>
      </c>
      <c r="AA86">
        <f t="shared" si="27"/>
        <v>-4.8515789473684359E-3</v>
      </c>
      <c r="AB86">
        <f t="shared" si="28"/>
        <v>3.1994889828650543E-2</v>
      </c>
      <c r="AC86">
        <f t="shared" si="29"/>
        <v>-8.0573265405142792E-3</v>
      </c>
    </row>
    <row r="87" spans="1:29" x14ac:dyDescent="0.75">
      <c r="A87" s="1">
        <v>41360.041250000002</v>
      </c>
      <c r="B87" s="14">
        <v>39.49</v>
      </c>
      <c r="C87" s="14">
        <f t="shared" si="16"/>
        <v>0.13902509374098648</v>
      </c>
      <c r="D87" s="14">
        <v>12.35</v>
      </c>
      <c r="E87" s="14">
        <f t="shared" si="17"/>
        <v>9.4858156028368779E-2</v>
      </c>
      <c r="F87" s="14">
        <v>91.49</v>
      </c>
      <c r="G87" s="14">
        <f t="shared" si="18"/>
        <v>-1.0928961748635224E-4</v>
      </c>
      <c r="H87" s="14">
        <v>64.203749000000002</v>
      </c>
      <c r="I87" s="14">
        <f t="shared" si="19"/>
        <v>-7.7644084843054517E-2</v>
      </c>
      <c r="J87" s="14">
        <v>98.68</v>
      </c>
      <c r="K87" s="14">
        <f t="shared" si="20"/>
        <v>4.0489245044285083E-2</v>
      </c>
      <c r="L87" s="14">
        <v>54.61</v>
      </c>
      <c r="M87" s="14">
        <f t="shared" si="21"/>
        <v>0.21382529450989107</v>
      </c>
      <c r="N87" s="14">
        <v>45.4</v>
      </c>
      <c r="O87" s="14">
        <f t="shared" si="22"/>
        <v>0.17464424320827954</v>
      </c>
      <c r="P87" s="14">
        <v>38.984386999999998</v>
      </c>
      <c r="Q87" s="14">
        <f t="shared" si="23"/>
        <v>6.5760201742270041E-2</v>
      </c>
      <c r="R87" s="14">
        <v>586.41999999999996</v>
      </c>
      <c r="S87" s="14">
        <f t="shared" si="24"/>
        <v>-5.4103559980327454E-3</v>
      </c>
      <c r="T87" s="14">
        <v>40.4</v>
      </c>
      <c r="U87" s="14">
        <f t="shared" si="15"/>
        <v>6.7281335659106212E-3</v>
      </c>
      <c r="V87" s="14">
        <v>64321.269530999998</v>
      </c>
      <c r="W87">
        <f t="shared" si="25"/>
        <v>6.5888878393893791E-4</v>
      </c>
      <c r="Z87">
        <f t="shared" si="26"/>
        <v>6.1177801679222009E-2</v>
      </c>
      <c r="AA87">
        <f t="shared" si="27"/>
        <v>4.3720124113475166E-2</v>
      </c>
      <c r="AB87">
        <f t="shared" si="28"/>
        <v>1.5407615268213871E-2</v>
      </c>
      <c r="AC87">
        <f t="shared" si="29"/>
        <v>2.0500622975329666E-3</v>
      </c>
    </row>
    <row r="88" spans="1:29" x14ac:dyDescent="0.75">
      <c r="A88" s="1">
        <v>41394.041250000002</v>
      </c>
      <c r="B88" s="14">
        <v>39.51</v>
      </c>
      <c r="C88" s="14">
        <f t="shared" si="16"/>
        <v>5.0645733096965628E-4</v>
      </c>
      <c r="D88" s="14">
        <v>11.7</v>
      </c>
      <c r="E88" s="14">
        <f t="shared" si="17"/>
        <v>-5.2631578947368474E-2</v>
      </c>
      <c r="F88" s="14">
        <v>91</v>
      </c>
      <c r="G88" s="14">
        <f t="shared" si="18"/>
        <v>-5.35577658760511E-3</v>
      </c>
      <c r="H88" s="14">
        <v>61.285397000000003</v>
      </c>
      <c r="I88" s="14">
        <f t="shared" si="19"/>
        <v>-4.5454541914678459E-2</v>
      </c>
      <c r="J88" s="14">
        <v>91.56</v>
      </c>
      <c r="K88" s="14">
        <f t="shared" si="20"/>
        <v>-7.2152411836238439E-2</v>
      </c>
      <c r="L88" s="14">
        <v>60.65</v>
      </c>
      <c r="M88" s="14">
        <f t="shared" si="21"/>
        <v>0.110602453763047</v>
      </c>
      <c r="N88" s="14">
        <v>44.22</v>
      </c>
      <c r="O88" s="14">
        <f t="shared" si="22"/>
        <v>-2.5991189427312822E-2</v>
      </c>
      <c r="P88" s="14">
        <v>38.089129</v>
      </c>
      <c r="Q88" s="14">
        <f t="shared" si="23"/>
        <v>-2.2964526798895157E-2</v>
      </c>
      <c r="R88" s="14">
        <v>506.97</v>
      </c>
      <c r="S88" s="14">
        <f t="shared" si="24"/>
        <v>-0.13548310084922055</v>
      </c>
      <c r="T88" s="14">
        <v>38.64</v>
      </c>
      <c r="U88" s="14">
        <f t="shared" si="15"/>
        <v>-4.3564356435643492E-2</v>
      </c>
      <c r="V88" s="14">
        <v>63190.660155999998</v>
      </c>
      <c r="W88">
        <f t="shared" si="25"/>
        <v>-8.9523728642432021E-2</v>
      </c>
      <c r="Z88">
        <f t="shared" si="26"/>
        <v>-4.2912542771763838E-2</v>
      </c>
      <c r="AA88">
        <f t="shared" si="27"/>
        <v>-2.4257894736842128E-2</v>
      </c>
      <c r="AB88">
        <f t="shared" si="28"/>
        <v>-5.3805886289811358E-3</v>
      </c>
      <c r="AC88">
        <f t="shared" si="29"/>
        <v>-1.3274059405940572E-2</v>
      </c>
    </row>
    <row r="89" spans="1:29" x14ac:dyDescent="0.75">
      <c r="A89" s="1">
        <v>41425.041250000002</v>
      </c>
      <c r="B89" s="14">
        <v>37.83</v>
      </c>
      <c r="C89" s="14">
        <f t="shared" si="16"/>
        <v>-4.2520880789673532E-2</v>
      </c>
      <c r="D89" s="14">
        <v>12.76</v>
      </c>
      <c r="E89" s="14">
        <f t="shared" si="17"/>
        <v>9.0598290598290721E-2</v>
      </c>
      <c r="F89" s="14">
        <v>95.6</v>
      </c>
      <c r="G89" s="14">
        <f t="shared" si="18"/>
        <v>5.0549450549450592E-2</v>
      </c>
      <c r="H89" s="14">
        <v>59.786544999999997</v>
      </c>
      <c r="I89" s="14">
        <f t="shared" si="19"/>
        <v>-2.445691915808279E-2</v>
      </c>
      <c r="J89" s="14">
        <v>81.75</v>
      </c>
      <c r="K89" s="14">
        <f t="shared" si="20"/>
        <v>-0.10714285714285721</v>
      </c>
      <c r="L89" s="14">
        <v>57.23</v>
      </c>
      <c r="M89" s="14">
        <f t="shared" si="21"/>
        <v>-5.638911788953016E-2</v>
      </c>
      <c r="N89" s="14">
        <v>40</v>
      </c>
      <c r="O89" s="14">
        <f t="shared" si="22"/>
        <v>-9.5431931252826785E-2</v>
      </c>
      <c r="P89" s="14">
        <v>39.508881000000002</v>
      </c>
      <c r="Q89" s="14">
        <f t="shared" si="23"/>
        <v>3.7274467473383366E-2</v>
      </c>
      <c r="R89" s="14">
        <v>485.28</v>
      </c>
      <c r="S89" s="14">
        <f t="shared" si="24"/>
        <v>-4.2783596662524515E-2</v>
      </c>
      <c r="T89" s="14">
        <v>37.72</v>
      </c>
      <c r="U89" s="14">
        <f t="shared" si="15"/>
        <v>-2.3809523809523836E-2</v>
      </c>
      <c r="V89" s="14">
        <v>62529.441405999998</v>
      </c>
      <c r="W89">
        <f t="shared" si="25"/>
        <v>-3.3296560236024175E-2</v>
      </c>
      <c r="Z89">
        <f t="shared" si="26"/>
        <v>4.3235397961004007E-2</v>
      </c>
      <c r="AA89">
        <f t="shared" si="27"/>
        <v>4.1756752136752194E-2</v>
      </c>
      <c r="AB89">
        <f t="shared" si="28"/>
        <v>8.733407729013723E-3</v>
      </c>
      <c r="AC89">
        <f t="shared" si="29"/>
        <v>-7.2547619047619132E-3</v>
      </c>
    </row>
    <row r="90" spans="1:29" x14ac:dyDescent="0.75">
      <c r="A90" s="1">
        <v>41453.041250000002</v>
      </c>
      <c r="B90" s="14">
        <v>39.25</v>
      </c>
      <c r="C90" s="14">
        <f t="shared" si="16"/>
        <v>3.7536346814697419E-2</v>
      </c>
      <c r="D90" s="14">
        <v>11.76</v>
      </c>
      <c r="E90" s="14">
        <f t="shared" si="17"/>
        <v>-7.8369905956112818E-2</v>
      </c>
      <c r="F90" s="14">
        <v>99</v>
      </c>
      <c r="G90" s="14">
        <f t="shared" si="18"/>
        <v>3.5564853556485421E-2</v>
      </c>
      <c r="H90" s="14">
        <v>57.864488999999999</v>
      </c>
      <c r="I90" s="14">
        <f t="shared" si="19"/>
        <v>-3.2148638125852558E-2</v>
      </c>
      <c r="J90" s="14">
        <v>76.72</v>
      </c>
      <c r="K90" s="14">
        <f t="shared" si="20"/>
        <v>-6.1529051987767591E-2</v>
      </c>
      <c r="L90" s="14">
        <v>58.82</v>
      </c>
      <c r="M90" s="14">
        <f t="shared" si="21"/>
        <v>2.7782631486982456E-2</v>
      </c>
      <c r="N90" s="14">
        <v>41.4</v>
      </c>
      <c r="O90" s="14">
        <f t="shared" si="22"/>
        <v>3.499999999999992E-2</v>
      </c>
      <c r="P90" s="14">
        <v>37.863053999999998</v>
      </c>
      <c r="Q90" s="14">
        <f t="shared" si="23"/>
        <v>-4.1657140327512776E-2</v>
      </c>
      <c r="R90" s="14">
        <v>391.64</v>
      </c>
      <c r="S90" s="14">
        <f t="shared" si="24"/>
        <v>-0.19296076491922187</v>
      </c>
      <c r="T90" s="14">
        <v>36.479999999999997</v>
      </c>
      <c r="U90" s="14">
        <f t="shared" si="15"/>
        <v>-3.2873806998939603E-2</v>
      </c>
      <c r="V90" s="14">
        <v>62328.628905999998</v>
      </c>
      <c r="W90">
        <f t="shared" si="25"/>
        <v>-0.11291728595908074</v>
      </c>
      <c r="Z90">
        <f t="shared" si="26"/>
        <v>-5.5897606626485533E-2</v>
      </c>
      <c r="AA90">
        <f t="shared" si="27"/>
        <v>-3.6120689655172393E-2</v>
      </c>
      <c r="AB90">
        <f t="shared" si="28"/>
        <v>-9.7602679787362444E-3</v>
      </c>
      <c r="AC90">
        <f t="shared" si="29"/>
        <v>-1.0016648992576899E-2</v>
      </c>
    </row>
    <row r="91" spans="1:29" x14ac:dyDescent="0.75">
      <c r="A91" s="1">
        <v>41486.041250000002</v>
      </c>
      <c r="B91" s="14">
        <v>43.2</v>
      </c>
      <c r="C91" s="14">
        <f t="shared" si="16"/>
        <v>0.10063694267515921</v>
      </c>
      <c r="D91" s="14">
        <v>12.58</v>
      </c>
      <c r="E91" s="14">
        <f t="shared" si="17"/>
        <v>6.9727891156462718E-2</v>
      </c>
      <c r="F91" s="14">
        <v>117</v>
      </c>
      <c r="G91" s="14">
        <f t="shared" si="18"/>
        <v>0.18181818181818188</v>
      </c>
      <c r="H91" s="14">
        <v>58.622731000000002</v>
      </c>
      <c r="I91" s="14">
        <f t="shared" si="19"/>
        <v>1.3103753495516068E-2</v>
      </c>
      <c r="J91" s="14">
        <v>81.150000000000006</v>
      </c>
      <c r="K91" s="14">
        <f t="shared" si="20"/>
        <v>5.7742440041710141E-2</v>
      </c>
      <c r="L91" s="14">
        <v>67.66</v>
      </c>
      <c r="M91" s="14">
        <f t="shared" si="21"/>
        <v>0.1502890173410405</v>
      </c>
      <c r="N91" s="14">
        <v>41.07</v>
      </c>
      <c r="O91" s="14">
        <f t="shared" si="22"/>
        <v>-7.9710144927536142E-3</v>
      </c>
      <c r="P91" s="14">
        <v>37.980612999999998</v>
      </c>
      <c r="Q91" s="14">
        <f t="shared" si="23"/>
        <v>3.1048472740735633E-3</v>
      </c>
      <c r="R91" s="14">
        <v>401.45</v>
      </c>
      <c r="S91" s="14">
        <f t="shared" si="24"/>
        <v>2.504851394137475E-2</v>
      </c>
      <c r="T91" s="14">
        <v>34.950000000000003</v>
      </c>
      <c r="U91" s="14">
        <f t="shared" si="15"/>
        <v>-4.194078947368407E-2</v>
      </c>
      <c r="V91" s="14">
        <v>61984.449219000002</v>
      </c>
      <c r="W91">
        <f t="shared" si="25"/>
        <v>-8.4461377661546599E-3</v>
      </c>
      <c r="Z91">
        <f t="shared" si="26"/>
        <v>2.0085692197697562E-2</v>
      </c>
      <c r="AA91">
        <f t="shared" si="27"/>
        <v>3.2137585034013663E-2</v>
      </c>
      <c r="AB91">
        <f t="shared" si="28"/>
        <v>7.2746571631543595E-4</v>
      </c>
      <c r="AC91">
        <f t="shared" si="29"/>
        <v>-1.2779358552631537E-2</v>
      </c>
    </row>
    <row r="92" spans="1:29" x14ac:dyDescent="0.75">
      <c r="A92" s="1">
        <v>41516.041250000002</v>
      </c>
      <c r="B92" s="14">
        <v>38.85</v>
      </c>
      <c r="C92" s="14">
        <f t="shared" si="16"/>
        <v>-0.10069444444444442</v>
      </c>
      <c r="D92" s="14">
        <v>12.97</v>
      </c>
      <c r="E92" s="14">
        <f t="shared" si="17"/>
        <v>3.1001589825119247E-2</v>
      </c>
      <c r="F92" s="14">
        <v>120</v>
      </c>
      <c r="G92" s="14">
        <f t="shared" si="18"/>
        <v>2.564102564102555E-2</v>
      </c>
      <c r="H92" s="14">
        <v>58.746166000000002</v>
      </c>
      <c r="I92" s="14">
        <f t="shared" si="19"/>
        <v>2.1055825597753319E-3</v>
      </c>
      <c r="J92" s="14">
        <v>83.49</v>
      </c>
      <c r="K92" s="14">
        <f t="shared" si="20"/>
        <v>2.883548983364137E-2</v>
      </c>
      <c r="L92" s="14">
        <v>69.11</v>
      </c>
      <c r="M92" s="14">
        <f t="shared" si="21"/>
        <v>2.143068282589411E-2</v>
      </c>
      <c r="N92" s="14">
        <v>42.7</v>
      </c>
      <c r="O92" s="14">
        <f t="shared" si="22"/>
        <v>3.9688336985634454E-2</v>
      </c>
      <c r="P92" s="14">
        <v>34.236809999999998</v>
      </c>
      <c r="Q92" s="14">
        <f t="shared" si="23"/>
        <v>-9.8571421161633199E-2</v>
      </c>
      <c r="R92" s="14">
        <v>407.8</v>
      </c>
      <c r="S92" s="14">
        <f t="shared" si="24"/>
        <v>1.581766097895132E-2</v>
      </c>
      <c r="T92" s="14">
        <v>32.04</v>
      </c>
      <c r="U92" s="14">
        <f t="shared" si="15"/>
        <v>-8.3261802575107402E-2</v>
      </c>
      <c r="V92" s="14">
        <v>62080.578125</v>
      </c>
      <c r="W92">
        <f t="shared" si="25"/>
        <v>-3.3722070798078041E-2</v>
      </c>
      <c r="Z92">
        <f t="shared" si="26"/>
        <v>-3.4176522472408426E-2</v>
      </c>
      <c r="AA92">
        <f t="shared" si="27"/>
        <v>1.428863275039746E-2</v>
      </c>
      <c r="AB92">
        <f t="shared" si="28"/>
        <v>-2.309528397817066E-2</v>
      </c>
      <c r="AC92">
        <f t="shared" si="29"/>
        <v>-2.5369871244635227E-2</v>
      </c>
    </row>
    <row r="93" spans="1:29" x14ac:dyDescent="0.75">
      <c r="A93" s="1">
        <v>41547.041250000002</v>
      </c>
      <c r="B93" s="14">
        <v>40.69</v>
      </c>
      <c r="C93" s="14">
        <f t="shared" si="16"/>
        <v>4.7361647361647163E-2</v>
      </c>
      <c r="D93" s="14">
        <v>12.53</v>
      </c>
      <c r="E93" s="14">
        <f t="shared" si="17"/>
        <v>-3.3924441017733287E-2</v>
      </c>
      <c r="F93" s="14">
        <v>117</v>
      </c>
      <c r="G93" s="14">
        <f t="shared" si="18"/>
        <v>-2.5000000000000022E-2</v>
      </c>
      <c r="H93" s="14">
        <v>58.869601000000003</v>
      </c>
      <c r="I93" s="14">
        <f t="shared" si="19"/>
        <v>2.1011583972987413E-3</v>
      </c>
      <c r="J93" s="14">
        <v>81.73</v>
      </c>
      <c r="K93" s="14">
        <f t="shared" si="20"/>
        <v>-2.1080368906455704E-2</v>
      </c>
      <c r="L93" s="14">
        <v>73.02</v>
      </c>
      <c r="M93" s="14">
        <f t="shared" si="21"/>
        <v>5.6576472290551294E-2</v>
      </c>
      <c r="N93" s="14">
        <v>44.3</v>
      </c>
      <c r="O93" s="14">
        <f t="shared" si="22"/>
        <v>3.7470725995315979E-2</v>
      </c>
      <c r="P93" s="14">
        <v>34.462885</v>
      </c>
      <c r="Q93" s="14">
        <f t="shared" si="23"/>
        <v>6.6032729100637955E-3</v>
      </c>
      <c r="R93" s="14">
        <v>384.87</v>
      </c>
      <c r="S93" s="14">
        <f t="shared" si="24"/>
        <v>-5.6228543403629261E-2</v>
      </c>
      <c r="T93" s="14">
        <v>34.42</v>
      </c>
      <c r="U93" s="14">
        <f t="shared" si="15"/>
        <v>7.4282147315855251E-2</v>
      </c>
      <c r="V93" s="14">
        <v>61672.191405999998</v>
      </c>
      <c r="W93">
        <f t="shared" si="25"/>
        <v>9.0268019561129953E-3</v>
      </c>
      <c r="Z93">
        <f t="shared" si="26"/>
        <v>8.5451422648957723E-3</v>
      </c>
      <c r="AA93">
        <f t="shared" si="27"/>
        <v>-1.5635774865073272E-2</v>
      </c>
      <c r="AB93">
        <f t="shared" si="28"/>
        <v>1.5471468428279473E-3</v>
      </c>
      <c r="AC93">
        <f t="shared" si="29"/>
        <v>2.2633770287141097E-2</v>
      </c>
    </row>
    <row r="94" spans="1:29" x14ac:dyDescent="0.75">
      <c r="A94" s="1">
        <v>41578.041250000002</v>
      </c>
      <c r="B94" s="14">
        <v>43.83</v>
      </c>
      <c r="C94" s="14">
        <f t="shared" si="16"/>
        <v>7.7168837552224145E-2</v>
      </c>
      <c r="D94" s="14">
        <v>11.86</v>
      </c>
      <c r="E94" s="14">
        <f t="shared" si="17"/>
        <v>-5.3471667996807692E-2</v>
      </c>
      <c r="F94" s="14">
        <v>118</v>
      </c>
      <c r="G94" s="14">
        <f t="shared" si="18"/>
        <v>8.5470085470085166E-3</v>
      </c>
      <c r="H94" s="14">
        <v>59.848263000000003</v>
      </c>
      <c r="I94" s="14">
        <f t="shared" si="19"/>
        <v>1.6624233617618778E-2</v>
      </c>
      <c r="J94" s="14">
        <v>83.28</v>
      </c>
      <c r="K94" s="14">
        <f t="shared" si="20"/>
        <v>1.896488437538224E-2</v>
      </c>
      <c r="L94" s="14">
        <v>89.42</v>
      </c>
      <c r="M94" s="14">
        <f t="shared" si="21"/>
        <v>0.2245960010955903</v>
      </c>
      <c r="N94" s="14">
        <v>45.38</v>
      </c>
      <c r="O94" s="14">
        <f t="shared" si="22"/>
        <v>2.4379232505643555E-2</v>
      </c>
      <c r="P94" s="14">
        <v>35.873593</v>
      </c>
      <c r="Q94" s="14">
        <f t="shared" si="23"/>
        <v>4.0934123768221919E-2</v>
      </c>
      <c r="R94" s="14">
        <v>381.75</v>
      </c>
      <c r="S94" s="14">
        <f t="shared" si="24"/>
        <v>-8.1066334086834502E-3</v>
      </c>
      <c r="T94" s="14">
        <v>33.92</v>
      </c>
      <c r="U94" s="14">
        <f t="shared" si="15"/>
        <v>-1.4526438117373641E-2</v>
      </c>
      <c r="V94" s="14">
        <v>61877.269530999998</v>
      </c>
      <c r="W94">
        <f t="shared" si="25"/>
        <v>-1.1316535763028546E-2</v>
      </c>
      <c r="Z94">
        <f t="shared" si="26"/>
        <v>-1.9480432275198016E-2</v>
      </c>
      <c r="AA94">
        <f t="shared" si="27"/>
        <v>-2.4645091779728664E-2</v>
      </c>
      <c r="AB94">
        <f t="shared" si="28"/>
        <v>9.5908651988943962E-3</v>
      </c>
      <c r="AC94">
        <f t="shared" si="29"/>
        <v>-4.4262056943637487E-3</v>
      </c>
    </row>
    <row r="95" spans="1:29" x14ac:dyDescent="0.75">
      <c r="A95" s="1">
        <v>41607.041250000002</v>
      </c>
      <c r="B95" s="14">
        <v>40.799999999999997</v>
      </c>
      <c r="C95" s="14">
        <f t="shared" si="16"/>
        <v>-6.9130732375085602E-2</v>
      </c>
      <c r="D95" s="14">
        <v>12.35</v>
      </c>
      <c r="E95" s="14">
        <f t="shared" si="17"/>
        <v>4.1315345699831418E-2</v>
      </c>
      <c r="F95" s="14">
        <v>114</v>
      </c>
      <c r="G95" s="14">
        <f t="shared" si="18"/>
        <v>-3.3898305084745783E-2</v>
      </c>
      <c r="H95" s="14">
        <v>60.756391000000001</v>
      </c>
      <c r="I95" s="14">
        <f t="shared" si="19"/>
        <v>1.5173840550727347E-2</v>
      </c>
      <c r="J95" s="14">
        <v>89.62</v>
      </c>
      <c r="K95" s="14">
        <f t="shared" si="20"/>
        <v>7.612872238232482E-2</v>
      </c>
      <c r="L95" s="14">
        <v>92</v>
      </c>
      <c r="M95" s="14">
        <f t="shared" si="21"/>
        <v>2.8852605681055632E-2</v>
      </c>
      <c r="N95" s="14">
        <v>46.05</v>
      </c>
      <c r="O95" s="14">
        <f t="shared" si="22"/>
        <v>1.4764213309828023E-2</v>
      </c>
      <c r="P95" s="14">
        <v>35.213453999999999</v>
      </c>
      <c r="Q95" s="14">
        <f t="shared" si="23"/>
        <v>-1.8401808817979259E-2</v>
      </c>
      <c r="R95" s="14">
        <v>335.93</v>
      </c>
      <c r="S95" s="14">
        <f t="shared" si="24"/>
        <v>-0.12002619515389656</v>
      </c>
      <c r="T95" s="14">
        <v>34.64</v>
      </c>
      <c r="U95" s="14">
        <f t="shared" si="15"/>
        <v>2.1226415094339535E-2</v>
      </c>
      <c r="V95" s="14">
        <v>62522.609375</v>
      </c>
      <c r="W95">
        <f t="shared" si="25"/>
        <v>-4.9399890029778515E-2</v>
      </c>
      <c r="Z95">
        <f t="shared" si="26"/>
        <v>2.1198387706245013E-2</v>
      </c>
      <c r="AA95">
        <f t="shared" si="27"/>
        <v>1.9042242833052298E-2</v>
      </c>
      <c r="AB95">
        <f t="shared" si="28"/>
        <v>-4.3115438060525408E-3</v>
      </c>
      <c r="AC95">
        <f t="shared" si="29"/>
        <v>6.4676886792452565E-3</v>
      </c>
    </row>
    <row r="96" spans="1:29" x14ac:dyDescent="0.75">
      <c r="A96" s="1">
        <v>41639.041250000002</v>
      </c>
      <c r="B96" s="14">
        <v>40.200000000000003</v>
      </c>
      <c r="C96" s="14">
        <f t="shared" si="16"/>
        <v>-1.4705882352941013E-2</v>
      </c>
      <c r="D96" s="14">
        <v>13.11</v>
      </c>
      <c r="E96" s="14">
        <f t="shared" si="17"/>
        <v>6.1538461538461542E-2</v>
      </c>
      <c r="F96" s="14">
        <v>115.23</v>
      </c>
      <c r="G96" s="14">
        <f t="shared" si="18"/>
        <v>1.078947368421046E-2</v>
      </c>
      <c r="H96" s="14">
        <v>61.541083</v>
      </c>
      <c r="I96" s="14">
        <f t="shared" si="19"/>
        <v>1.2915382021292166E-2</v>
      </c>
      <c r="J96" s="14">
        <v>91.36</v>
      </c>
      <c r="K96" s="14">
        <f t="shared" si="20"/>
        <v>1.9415309082793986E-2</v>
      </c>
      <c r="L96" s="14">
        <v>98.78</v>
      </c>
      <c r="M96" s="14">
        <f t="shared" si="21"/>
        <v>7.3695652173913162E-2</v>
      </c>
      <c r="N96" s="14">
        <v>46.47</v>
      </c>
      <c r="O96" s="14">
        <f t="shared" si="22"/>
        <v>9.1205211726383961E-3</v>
      </c>
      <c r="P96" s="14">
        <v>33.531455999999999</v>
      </c>
      <c r="Q96" s="14">
        <f t="shared" si="23"/>
        <v>-4.7765777250933672E-2</v>
      </c>
      <c r="R96" s="14">
        <v>324.18</v>
      </c>
      <c r="S96" s="14">
        <f t="shared" si="24"/>
        <v>-3.4977525079629701E-2</v>
      </c>
      <c r="T96" s="14">
        <v>34.26</v>
      </c>
      <c r="U96" s="14">
        <f t="shared" si="15"/>
        <v>-1.0969976905311873E-2</v>
      </c>
      <c r="V96" s="14">
        <v>63214.558594000002</v>
      </c>
      <c r="W96">
        <f t="shared" si="25"/>
        <v>-2.2973750992470787E-2</v>
      </c>
      <c r="Z96">
        <f t="shared" si="26"/>
        <v>1.3829003350134636E-2</v>
      </c>
      <c r="AA96">
        <f t="shared" si="27"/>
        <v>2.8363076923076925E-2</v>
      </c>
      <c r="AB96">
        <f t="shared" si="28"/>
        <v>-1.119152160989376E-2</v>
      </c>
      <c r="AC96">
        <f t="shared" si="29"/>
        <v>-3.3425519630485281E-3</v>
      </c>
    </row>
    <row r="97" spans="1:29" x14ac:dyDescent="0.75">
      <c r="A97" s="1">
        <v>41670.041250000002</v>
      </c>
      <c r="B97" s="14">
        <v>35.53</v>
      </c>
      <c r="C97" s="14">
        <f t="shared" si="16"/>
        <v>-0.11616915422885576</v>
      </c>
      <c r="D97" s="14">
        <v>14.13</v>
      </c>
      <c r="E97" s="14">
        <f t="shared" si="17"/>
        <v>7.7803203661327425E-2</v>
      </c>
      <c r="F97" s="14">
        <v>113</v>
      </c>
      <c r="G97" s="14">
        <f t="shared" si="18"/>
        <v>-1.9352599149527028E-2</v>
      </c>
      <c r="H97" s="14">
        <v>63.956879999999998</v>
      </c>
      <c r="I97" s="14">
        <f t="shared" si="19"/>
        <v>3.9255029034831912E-2</v>
      </c>
      <c r="J97" s="14">
        <v>84.42</v>
      </c>
      <c r="K97" s="14">
        <f t="shared" si="20"/>
        <v>-7.5963222416812637E-2</v>
      </c>
      <c r="L97" s="14">
        <v>108.74</v>
      </c>
      <c r="M97" s="14">
        <f t="shared" si="21"/>
        <v>0.10083012755618537</v>
      </c>
      <c r="N97" s="14">
        <v>41.91</v>
      </c>
      <c r="O97" s="14">
        <f t="shared" si="22"/>
        <v>-9.8127824402840624E-2</v>
      </c>
      <c r="P97" s="14">
        <v>30.836641</v>
      </c>
      <c r="Q97" s="14">
        <f t="shared" si="23"/>
        <v>-8.0366775603182838E-2</v>
      </c>
      <c r="R97" s="14">
        <v>313.14999999999998</v>
      </c>
      <c r="S97" s="14">
        <f t="shared" si="24"/>
        <v>-3.4024307483496941E-2</v>
      </c>
      <c r="T97" s="14">
        <v>32</v>
      </c>
      <c r="U97" s="14">
        <f t="shared" si="15"/>
        <v>-6.5966141272621126E-2</v>
      </c>
      <c r="V97" s="14">
        <v>63242.710937999997</v>
      </c>
      <c r="W97">
        <f t="shared" si="25"/>
        <v>-4.9995224378059033E-2</v>
      </c>
      <c r="Z97">
        <f t="shared" si="26"/>
        <v>-3.0703222020875866E-3</v>
      </c>
      <c r="AA97">
        <f t="shared" si="27"/>
        <v>3.5859496567505811E-2</v>
      </c>
      <c r="AB97">
        <f t="shared" si="28"/>
        <v>-1.8829935523825739E-2</v>
      </c>
      <c r="AC97">
        <f t="shared" si="29"/>
        <v>-2.0099883245767659E-2</v>
      </c>
    </row>
    <row r="98" spans="1:29" x14ac:dyDescent="0.75">
      <c r="A98" s="1">
        <v>41698.041250000002</v>
      </c>
      <c r="B98" s="14">
        <v>34.75</v>
      </c>
      <c r="C98" s="14">
        <f t="shared" si="16"/>
        <v>-2.1953278919223274E-2</v>
      </c>
      <c r="D98" s="14">
        <v>14.82</v>
      </c>
      <c r="E98" s="14">
        <f t="shared" si="17"/>
        <v>4.8832271762208057E-2</v>
      </c>
      <c r="F98" s="14">
        <v>110</v>
      </c>
      <c r="G98" s="14">
        <f t="shared" si="18"/>
        <v>-2.6548672566371723E-2</v>
      </c>
      <c r="H98" s="14">
        <v>62.678446999999998</v>
      </c>
      <c r="I98" s="14">
        <f t="shared" si="19"/>
        <v>-1.9988983202432586E-2</v>
      </c>
      <c r="J98" s="14">
        <v>86.03</v>
      </c>
      <c r="K98" s="14">
        <f t="shared" si="20"/>
        <v>1.9071310116086204E-2</v>
      </c>
      <c r="L98" s="14">
        <v>104.44</v>
      </c>
      <c r="M98" s="14">
        <f t="shared" si="21"/>
        <v>-3.9543866102630054E-2</v>
      </c>
      <c r="N98" s="14">
        <v>34.83</v>
      </c>
      <c r="O98" s="14">
        <f t="shared" si="22"/>
        <v>-0.16893342877594841</v>
      </c>
      <c r="P98" s="14">
        <v>28.964739000000002</v>
      </c>
      <c r="Q98" s="14">
        <f t="shared" si="23"/>
        <v>-6.07038230914968E-2</v>
      </c>
      <c r="R98" s="14">
        <v>321.85000000000002</v>
      </c>
      <c r="S98" s="14">
        <f t="shared" si="24"/>
        <v>2.7782212996966482E-2</v>
      </c>
      <c r="T98" s="14">
        <v>28.09</v>
      </c>
      <c r="U98" s="14">
        <f t="shared" si="15"/>
        <v>-0.1221875</v>
      </c>
      <c r="V98" s="14">
        <v>62694.730469000002</v>
      </c>
      <c r="W98">
        <f t="shared" si="25"/>
        <v>-4.7202643501516761E-2</v>
      </c>
      <c r="Z98">
        <f t="shared" si="26"/>
        <v>-2.8946642945136013E-2</v>
      </c>
      <c r="AA98">
        <f t="shared" si="27"/>
        <v>2.2506794055201694E-2</v>
      </c>
      <c r="AB98">
        <f t="shared" si="28"/>
        <v>-1.4222905750337701E-2</v>
      </c>
      <c r="AC98">
        <f t="shared" si="29"/>
        <v>-3.7230531250000004E-2</v>
      </c>
    </row>
    <row r="99" spans="1:29" x14ac:dyDescent="0.75">
      <c r="A99" s="1">
        <v>41729.041250000002</v>
      </c>
      <c r="B99" s="14">
        <v>35.24</v>
      </c>
      <c r="C99" s="14">
        <f t="shared" si="16"/>
        <v>1.4100719424460451E-2</v>
      </c>
      <c r="D99" s="14">
        <v>14.1</v>
      </c>
      <c r="E99" s="14">
        <f t="shared" si="17"/>
        <v>-4.8582995951417018E-2</v>
      </c>
      <c r="F99" s="14">
        <v>114</v>
      </c>
      <c r="G99" s="14">
        <f t="shared" si="18"/>
        <v>3.6363636363636376E-2</v>
      </c>
      <c r="H99" s="14">
        <v>67.201452000000003</v>
      </c>
      <c r="I99" s="14">
        <f t="shared" si="19"/>
        <v>7.2162046388928536E-2</v>
      </c>
      <c r="J99" s="14">
        <v>87.83</v>
      </c>
      <c r="K99" s="14">
        <f t="shared" si="20"/>
        <v>2.0922933860281212E-2</v>
      </c>
      <c r="L99" s="14">
        <v>107.99</v>
      </c>
      <c r="M99" s="14">
        <f t="shared" si="21"/>
        <v>3.3990808119494398E-2</v>
      </c>
      <c r="N99" s="14">
        <v>38.770000000000003</v>
      </c>
      <c r="O99" s="14">
        <f t="shared" si="22"/>
        <v>0.11312087281079553</v>
      </c>
      <c r="P99" s="14">
        <v>31.614339000000001</v>
      </c>
      <c r="Q99" s="14">
        <f t="shared" si="23"/>
        <v>9.1476743498361879E-2</v>
      </c>
      <c r="R99" s="14">
        <v>341.2</v>
      </c>
      <c r="S99" s="14">
        <f t="shared" si="24"/>
        <v>6.0121174460152194E-2</v>
      </c>
      <c r="T99" s="14">
        <v>30.98</v>
      </c>
      <c r="U99" s="14">
        <f t="shared" si="15"/>
        <v>0.10288358846564605</v>
      </c>
      <c r="V99" s="14">
        <v>63596.78125</v>
      </c>
      <c r="W99">
        <f t="shared" si="25"/>
        <v>8.1502381462899121E-2</v>
      </c>
      <c r="Z99">
        <f t="shared" si="26"/>
        <v>3.0389727573140436E-2</v>
      </c>
      <c r="AA99">
        <f t="shared" si="27"/>
        <v>-2.2391902834008104E-2</v>
      </c>
      <c r="AB99">
        <f t="shared" si="28"/>
        <v>2.1433001001666188E-2</v>
      </c>
      <c r="AC99">
        <f t="shared" si="29"/>
        <v>3.1348629405482352E-2</v>
      </c>
    </row>
    <row r="100" spans="1:29" x14ac:dyDescent="0.75">
      <c r="A100" s="1">
        <v>41759.041250000002</v>
      </c>
      <c r="B100" s="14">
        <v>36.14</v>
      </c>
      <c r="C100" s="14">
        <f t="shared" si="16"/>
        <v>2.5539160045402909E-2</v>
      </c>
      <c r="D100" s="14">
        <v>14.87</v>
      </c>
      <c r="E100" s="14">
        <f t="shared" si="17"/>
        <v>5.4609929078014208E-2</v>
      </c>
      <c r="F100" s="14">
        <v>106</v>
      </c>
      <c r="G100" s="14">
        <f t="shared" si="18"/>
        <v>-7.0175438596491224E-2</v>
      </c>
      <c r="H100" s="14">
        <v>69.370379</v>
      </c>
      <c r="I100" s="14">
        <f t="shared" si="19"/>
        <v>3.227500203418221E-2</v>
      </c>
      <c r="J100" s="14">
        <v>86.73</v>
      </c>
      <c r="K100" s="14">
        <f t="shared" si="20"/>
        <v>-1.2524194466583149E-2</v>
      </c>
      <c r="L100" s="14">
        <v>115.58</v>
      </c>
      <c r="M100" s="14">
        <f t="shared" si="21"/>
        <v>7.0284285581998285E-2</v>
      </c>
      <c r="N100" s="14">
        <v>38.880000000000003</v>
      </c>
      <c r="O100" s="14">
        <f t="shared" si="22"/>
        <v>2.8372452927520886E-3</v>
      </c>
      <c r="P100" s="14">
        <v>30.755254000000001</v>
      </c>
      <c r="Q100" s="14">
        <f t="shared" si="23"/>
        <v>-2.7173903588495141E-2</v>
      </c>
      <c r="R100" s="14">
        <v>304.52999999999997</v>
      </c>
      <c r="S100" s="14">
        <f t="shared" si="24"/>
        <v>-0.10747362250879255</v>
      </c>
      <c r="T100" s="14">
        <v>33.08</v>
      </c>
      <c r="U100" s="14">
        <f t="shared" si="15"/>
        <v>6.7785668173014679E-2</v>
      </c>
      <c r="V100" s="14">
        <v>63551.128905999998</v>
      </c>
      <c r="W100">
        <f t="shared" si="25"/>
        <v>-1.9843977167888938E-2</v>
      </c>
      <c r="Z100">
        <f t="shared" si="26"/>
        <v>3.9457163793589906E-2</v>
      </c>
      <c r="AA100">
        <f t="shared" si="27"/>
        <v>2.5169716312056747E-2</v>
      </c>
      <c r="AB100">
        <f t="shared" si="28"/>
        <v>-6.3668456107844121E-3</v>
      </c>
      <c r="AC100">
        <f t="shared" si="29"/>
        <v>2.0654293092317574E-2</v>
      </c>
    </row>
    <row r="101" spans="1:29" x14ac:dyDescent="0.75">
      <c r="A101" s="1">
        <v>41789.041250000002</v>
      </c>
      <c r="B101" s="14">
        <v>37.200000000000003</v>
      </c>
      <c r="C101" s="14">
        <f t="shared" si="16"/>
        <v>2.9330381848367448E-2</v>
      </c>
      <c r="D101" s="14">
        <v>14.72</v>
      </c>
      <c r="E101" s="14">
        <f t="shared" si="17"/>
        <v>-1.0087424344317308E-2</v>
      </c>
      <c r="F101" s="14">
        <v>104</v>
      </c>
      <c r="G101" s="14">
        <f t="shared" si="18"/>
        <v>-1.8867924528301883E-2</v>
      </c>
      <c r="H101" s="14">
        <v>72.293526999999997</v>
      </c>
      <c r="I101" s="14">
        <f t="shared" si="19"/>
        <v>4.2138273455302855E-2</v>
      </c>
      <c r="J101" s="14">
        <v>92.98</v>
      </c>
      <c r="K101" s="14">
        <f t="shared" si="20"/>
        <v>7.2062723394442418E-2</v>
      </c>
      <c r="L101" s="14">
        <v>135.32</v>
      </c>
      <c r="M101" s="14">
        <f t="shared" si="21"/>
        <v>0.1707907942550615</v>
      </c>
      <c r="N101" s="14">
        <v>39.9</v>
      </c>
      <c r="O101" s="14">
        <f t="shared" si="22"/>
        <v>2.6234567901234573E-2</v>
      </c>
      <c r="P101" s="14">
        <v>31.080801999999998</v>
      </c>
      <c r="Q101" s="14">
        <f t="shared" si="23"/>
        <v>1.0585118237033564E-2</v>
      </c>
      <c r="R101" s="14">
        <v>311.08</v>
      </c>
      <c r="S101" s="14">
        <f t="shared" si="24"/>
        <v>2.1508554165435401E-2</v>
      </c>
      <c r="T101" s="14">
        <v>32.75</v>
      </c>
      <c r="U101" s="14">
        <f t="shared" si="15"/>
        <v>-9.9758162031438058E-3</v>
      </c>
      <c r="V101" s="14">
        <v>63820.609375</v>
      </c>
      <c r="W101">
        <f t="shared" si="25"/>
        <v>5.7663689811457974E-3</v>
      </c>
      <c r="Z101">
        <f t="shared" si="26"/>
        <v>-5.2088318744568009E-3</v>
      </c>
      <c r="AA101">
        <f t="shared" si="27"/>
        <v>-4.6492938802958472E-3</v>
      </c>
      <c r="AB101">
        <f t="shared" si="28"/>
        <v>2.4800932029369642E-3</v>
      </c>
      <c r="AC101">
        <f t="shared" si="29"/>
        <v>-3.039631197097918E-3</v>
      </c>
    </row>
    <row r="102" spans="1:29" x14ac:dyDescent="0.75">
      <c r="A102" s="1">
        <v>41820.041250000002</v>
      </c>
      <c r="B102" s="14">
        <v>38.07</v>
      </c>
      <c r="C102" s="14">
        <f t="shared" si="16"/>
        <v>2.3387096774193372E-2</v>
      </c>
      <c r="D102" s="14">
        <v>15.27</v>
      </c>
      <c r="E102" s="14">
        <f t="shared" si="17"/>
        <v>3.7364130434782483E-2</v>
      </c>
      <c r="F102" s="14">
        <v>106</v>
      </c>
      <c r="G102" s="14">
        <f t="shared" si="18"/>
        <v>1.9230769230769162E-2</v>
      </c>
      <c r="H102" s="14">
        <v>80.112751000000003</v>
      </c>
      <c r="I102" s="14">
        <f t="shared" si="19"/>
        <v>0.1081593930256024</v>
      </c>
      <c r="J102" s="14">
        <v>92.79</v>
      </c>
      <c r="K102" s="14">
        <f t="shared" si="20"/>
        <v>-2.0434502043450431E-3</v>
      </c>
      <c r="L102" s="14">
        <v>155.25</v>
      </c>
      <c r="M102" s="14">
        <f t="shared" si="21"/>
        <v>0.1472805202483003</v>
      </c>
      <c r="N102" s="14">
        <v>39.549999999999997</v>
      </c>
      <c r="O102" s="14">
        <f t="shared" si="22"/>
        <v>-8.7719298245614308E-3</v>
      </c>
      <c r="P102" s="14">
        <v>32.835144</v>
      </c>
      <c r="Q102" s="14">
        <f t="shared" si="23"/>
        <v>5.6444553779532392E-2</v>
      </c>
      <c r="R102" s="14">
        <v>324.41000000000003</v>
      </c>
      <c r="S102" s="14">
        <f t="shared" si="24"/>
        <v>4.2850713642792915E-2</v>
      </c>
      <c r="T102" s="14">
        <v>34.700000000000003</v>
      </c>
      <c r="U102" s="14">
        <f t="shared" si="15"/>
        <v>5.954198473282446E-2</v>
      </c>
      <c r="V102" s="14">
        <v>63597.441405999998</v>
      </c>
      <c r="W102">
        <f t="shared" si="25"/>
        <v>5.1196349187808687E-2</v>
      </c>
      <c r="Z102">
        <f t="shared" si="26"/>
        <v>4.8588529416027301E-2</v>
      </c>
      <c r="AA102">
        <f t="shared" si="27"/>
        <v>1.7221127717391246E-2</v>
      </c>
      <c r="AB102">
        <f t="shared" si="28"/>
        <v>1.322495895054444E-2</v>
      </c>
      <c r="AC102">
        <f t="shared" si="29"/>
        <v>1.8142442748091615E-2</v>
      </c>
    </row>
    <row r="103" spans="1:29" x14ac:dyDescent="0.75">
      <c r="A103" s="1">
        <v>41851.041250000002</v>
      </c>
      <c r="B103" s="14">
        <v>40.61</v>
      </c>
      <c r="C103" s="14">
        <f t="shared" si="16"/>
        <v>6.6719201470974543E-2</v>
      </c>
      <c r="D103" s="14">
        <v>14.74</v>
      </c>
      <c r="E103" s="14">
        <f t="shared" si="17"/>
        <v>-3.4708578912901022E-2</v>
      </c>
      <c r="F103" s="14">
        <v>103</v>
      </c>
      <c r="G103" s="14">
        <f t="shared" si="18"/>
        <v>-2.8301886792452824E-2</v>
      </c>
      <c r="H103" s="14">
        <v>81.201041000000004</v>
      </c>
      <c r="I103" s="14">
        <f t="shared" si="19"/>
        <v>1.3584479204814759E-2</v>
      </c>
      <c r="J103" s="14">
        <v>87.86</v>
      </c>
      <c r="K103" s="14">
        <f t="shared" si="20"/>
        <v>-5.3130725293673908E-2</v>
      </c>
      <c r="L103" s="14">
        <v>144.68</v>
      </c>
      <c r="M103" s="14">
        <f t="shared" si="21"/>
        <v>-6.8083735909822862E-2</v>
      </c>
      <c r="N103" s="14">
        <v>37.409999999999997</v>
      </c>
      <c r="O103" s="14">
        <f t="shared" si="22"/>
        <v>-5.4108723135271819E-2</v>
      </c>
      <c r="P103" s="14">
        <v>30.393533999999999</v>
      </c>
      <c r="Q103" s="14">
        <f t="shared" si="23"/>
        <v>-7.4359655617773468E-2</v>
      </c>
      <c r="R103" s="14">
        <v>330.4</v>
      </c>
      <c r="S103" s="14">
        <f t="shared" si="24"/>
        <v>1.8464289016984603E-2</v>
      </c>
      <c r="T103" s="14">
        <v>32.799999999999997</v>
      </c>
      <c r="U103" s="14">
        <f t="shared" si="15"/>
        <v>-5.4755043227665889E-2</v>
      </c>
      <c r="V103" s="14">
        <v>63714.859375</v>
      </c>
      <c r="W103">
        <f t="shared" si="25"/>
        <v>-1.8145377105340643E-2</v>
      </c>
      <c r="Z103">
        <f t="shared" si="26"/>
        <v>-5.0103513003670198E-2</v>
      </c>
      <c r="AA103">
        <f t="shared" si="27"/>
        <v>-1.5997184020956082E-2</v>
      </c>
      <c r="AB103">
        <f t="shared" si="28"/>
        <v>-1.7422467311244322E-2</v>
      </c>
      <c r="AC103">
        <f t="shared" si="29"/>
        <v>-1.6683861671469798E-2</v>
      </c>
    </row>
    <row r="104" spans="1:29" x14ac:dyDescent="0.75">
      <c r="A104" s="1">
        <v>41880.041250000002</v>
      </c>
      <c r="B104" s="14">
        <v>41.16</v>
      </c>
      <c r="C104" s="14">
        <f t="shared" si="16"/>
        <v>1.3543462201428103E-2</v>
      </c>
      <c r="D104" s="14">
        <v>15.44</v>
      </c>
      <c r="E104" s="14">
        <f t="shared" si="17"/>
        <v>4.7489823609226489E-2</v>
      </c>
      <c r="F104" s="14">
        <v>106.48</v>
      </c>
      <c r="G104" s="14">
        <f t="shared" si="18"/>
        <v>3.3786407766990267E-2</v>
      </c>
      <c r="H104" s="14">
        <v>83.011808000000002</v>
      </c>
      <c r="I104" s="14">
        <f t="shared" si="19"/>
        <v>2.2299800319062424E-2</v>
      </c>
      <c r="J104" s="14">
        <v>92.05</v>
      </c>
      <c r="K104" s="14">
        <f t="shared" si="20"/>
        <v>4.7689506032324136E-2</v>
      </c>
      <c r="L104" s="14">
        <v>149.16999999999999</v>
      </c>
      <c r="M104" s="14">
        <f t="shared" si="21"/>
        <v>3.1034006082388599E-2</v>
      </c>
      <c r="N104" s="14">
        <v>36.619999999999997</v>
      </c>
      <c r="O104" s="14">
        <f t="shared" si="22"/>
        <v>-2.111734830259282E-2</v>
      </c>
      <c r="P104" s="14">
        <v>31.551037999999998</v>
      </c>
      <c r="Q104" s="14">
        <f t="shared" si="23"/>
        <v>3.8083889816827421E-2</v>
      </c>
      <c r="R104" s="14">
        <v>331.8</v>
      </c>
      <c r="S104" s="14">
        <f t="shared" si="24"/>
        <v>4.2372881355934311E-3</v>
      </c>
      <c r="T104" s="14">
        <v>35.6</v>
      </c>
      <c r="U104" s="14">
        <f t="shared" si="15"/>
        <v>8.5365853658536661E-2</v>
      </c>
      <c r="V104" s="14">
        <v>63378.300780999998</v>
      </c>
      <c r="W104">
        <f t="shared" si="25"/>
        <v>4.4801570897065046E-2</v>
      </c>
      <c r="Z104">
        <f t="shared" si="26"/>
        <v>5.682209069533127E-2</v>
      </c>
      <c r="AA104">
        <f t="shared" si="27"/>
        <v>2.1888059701492487E-2</v>
      </c>
      <c r="AB104">
        <f t="shared" si="28"/>
        <v>8.9230553840826659E-3</v>
      </c>
      <c r="AC104">
        <f t="shared" si="29"/>
        <v>2.6010975609756123E-2</v>
      </c>
    </row>
    <row r="105" spans="1:29" x14ac:dyDescent="0.75">
      <c r="A105" s="1">
        <v>41912.041250000002</v>
      </c>
      <c r="B105" s="14">
        <v>38.94</v>
      </c>
      <c r="C105" s="14">
        <f t="shared" si="16"/>
        <v>-5.3935860058308971E-2</v>
      </c>
      <c r="D105" s="14">
        <v>15.56</v>
      </c>
      <c r="E105" s="14">
        <f t="shared" si="17"/>
        <v>7.7720207253886286E-3</v>
      </c>
      <c r="F105" s="14">
        <v>106</v>
      </c>
      <c r="G105" s="14">
        <f t="shared" si="18"/>
        <v>-4.5078888054095323E-3</v>
      </c>
      <c r="H105" s="14">
        <v>82.938646000000006</v>
      </c>
      <c r="I105" s="14">
        <f t="shared" si="19"/>
        <v>-8.8134449499033263E-4</v>
      </c>
      <c r="J105" s="14">
        <v>85.78</v>
      </c>
      <c r="K105" s="14">
        <f t="shared" si="20"/>
        <v>-6.8115154807170009E-2</v>
      </c>
      <c r="L105" s="14">
        <v>143.38</v>
      </c>
      <c r="M105" s="14">
        <f t="shared" si="21"/>
        <v>-3.8814775088824804E-2</v>
      </c>
      <c r="N105" s="14">
        <v>35.97</v>
      </c>
      <c r="O105" s="14">
        <f t="shared" si="22"/>
        <v>-1.7749863462588666E-2</v>
      </c>
      <c r="P105" s="14">
        <v>28.67</v>
      </c>
      <c r="Q105" s="14">
        <f t="shared" si="23"/>
        <v>-9.1313572631112727E-2</v>
      </c>
      <c r="R105" s="14">
        <v>307.16000000000003</v>
      </c>
      <c r="S105" s="14">
        <f t="shared" si="24"/>
        <v>-7.4261603375527341E-2</v>
      </c>
      <c r="T105" s="14">
        <v>33.770000000000003</v>
      </c>
      <c r="U105" s="14">
        <f t="shared" si="15"/>
        <v>-5.1404494382022436E-2</v>
      </c>
      <c r="V105" s="14">
        <v>63528</v>
      </c>
      <c r="W105">
        <f t="shared" si="25"/>
        <v>-6.2833048878774889E-2</v>
      </c>
      <c r="Z105">
        <f t="shared" si="26"/>
        <v>-3.3475595153340337E-2</v>
      </c>
      <c r="AA105">
        <f t="shared" si="27"/>
        <v>3.5821243523316186E-3</v>
      </c>
      <c r="AB105">
        <f t="shared" si="28"/>
        <v>-2.1394770067469714E-2</v>
      </c>
      <c r="AC105">
        <f t="shared" si="29"/>
        <v>-1.5662949438202237E-2</v>
      </c>
    </row>
    <row r="106" spans="1:29" x14ac:dyDescent="0.75">
      <c r="A106" s="1">
        <v>41943.041250000002</v>
      </c>
      <c r="B106" s="14">
        <v>39.39</v>
      </c>
      <c r="C106" s="14">
        <f t="shared" si="16"/>
        <v>1.1556240369799742E-2</v>
      </c>
      <c r="D106" s="14">
        <v>14.75</v>
      </c>
      <c r="E106" s="14">
        <f t="shared" si="17"/>
        <v>-5.2056555269922922E-2</v>
      </c>
      <c r="F106" s="14">
        <v>105.99</v>
      </c>
      <c r="G106" s="14">
        <f t="shared" si="18"/>
        <v>-9.4339622641603782E-5</v>
      </c>
      <c r="H106" s="14">
        <v>83.79</v>
      </c>
      <c r="I106" s="14">
        <f t="shared" si="19"/>
        <v>1.0264864946071039E-2</v>
      </c>
      <c r="J106" s="14">
        <v>86.39</v>
      </c>
      <c r="K106" s="14">
        <f t="shared" si="20"/>
        <v>7.1112147353695754E-3</v>
      </c>
      <c r="L106" s="14">
        <v>148.29</v>
      </c>
      <c r="M106" s="14">
        <f t="shared" si="21"/>
        <v>3.4244664527828039E-2</v>
      </c>
      <c r="N106" s="14">
        <v>34.32</v>
      </c>
      <c r="O106" s="14">
        <f t="shared" si="22"/>
        <v>-4.587155963302747E-2</v>
      </c>
      <c r="P106" s="14">
        <v>28.187041000000001</v>
      </c>
      <c r="Q106" s="14">
        <f t="shared" si="23"/>
        <v>-1.6845448203697266E-2</v>
      </c>
      <c r="R106" s="14">
        <v>302.22000000000003</v>
      </c>
      <c r="S106" s="14">
        <f t="shared" si="24"/>
        <v>-1.6082823284281789E-2</v>
      </c>
      <c r="T106" s="14">
        <v>31.13</v>
      </c>
      <c r="U106" s="14">
        <f t="shared" si="15"/>
        <v>-7.8175895765472458E-2</v>
      </c>
      <c r="V106" s="14">
        <v>63694.679687999997</v>
      </c>
      <c r="W106">
        <f t="shared" si="25"/>
        <v>-4.7129359524877124E-2</v>
      </c>
      <c r="Z106">
        <f t="shared" si="26"/>
        <v>-5.1759950277773199E-2</v>
      </c>
      <c r="AA106">
        <f t="shared" si="27"/>
        <v>-2.3992866323907472E-2</v>
      </c>
      <c r="AB106">
        <f t="shared" si="28"/>
        <v>-3.9468885141262693E-3</v>
      </c>
      <c r="AC106">
        <f t="shared" si="29"/>
        <v>-2.3820195439739459E-2</v>
      </c>
    </row>
    <row r="107" spans="1:29" x14ac:dyDescent="0.75">
      <c r="A107" s="1">
        <v>41971.041250000002</v>
      </c>
      <c r="B107" s="14">
        <v>39.11</v>
      </c>
      <c r="C107" s="14">
        <f t="shared" si="16"/>
        <v>-7.1084031480070919E-3</v>
      </c>
      <c r="D107" s="14">
        <v>15.35</v>
      </c>
      <c r="E107" s="14">
        <f t="shared" si="17"/>
        <v>4.067796610169494E-2</v>
      </c>
      <c r="F107" s="14">
        <v>106</v>
      </c>
      <c r="G107" s="14">
        <f t="shared" si="18"/>
        <v>9.4348523445697552E-5</v>
      </c>
      <c r="H107" s="14">
        <v>86.761377999999993</v>
      </c>
      <c r="I107" s="14">
        <f t="shared" si="19"/>
        <v>3.5462203126864544E-2</v>
      </c>
      <c r="J107" s="14">
        <v>78.8</v>
      </c>
      <c r="K107" s="14">
        <f t="shared" si="20"/>
        <v>-8.785739090172473E-2</v>
      </c>
      <c r="L107" s="14">
        <v>153.32</v>
      </c>
      <c r="M107" s="14">
        <f t="shared" si="21"/>
        <v>3.3920021579337822E-2</v>
      </c>
      <c r="N107" s="14">
        <v>35.979999999999997</v>
      </c>
      <c r="O107" s="14">
        <f t="shared" si="22"/>
        <v>4.8368298368298257E-2</v>
      </c>
      <c r="P107" s="14">
        <v>28.48</v>
      </c>
      <c r="Q107" s="14">
        <f t="shared" si="23"/>
        <v>1.0393393190863742E-2</v>
      </c>
      <c r="R107" s="14">
        <v>304.07</v>
      </c>
      <c r="S107" s="14">
        <f t="shared" si="24"/>
        <v>6.1213685394745365E-3</v>
      </c>
      <c r="T107" s="14">
        <v>29.75</v>
      </c>
      <c r="U107" s="14">
        <f t="shared" si="15"/>
        <v>-4.4330228075811107E-2</v>
      </c>
      <c r="V107" s="14">
        <v>63409.398437999997</v>
      </c>
      <c r="W107">
        <f t="shared" si="25"/>
        <v>-1.9104429768168285E-2</v>
      </c>
      <c r="Z107">
        <f t="shared" si="26"/>
        <v>7.6762261061909288E-3</v>
      </c>
      <c r="AA107">
        <f t="shared" si="27"/>
        <v>1.8748474576271199E-2</v>
      </c>
      <c r="AB107">
        <f t="shared" si="28"/>
        <v>2.4351720246193749E-3</v>
      </c>
      <c r="AC107">
        <f t="shared" si="29"/>
        <v>-1.3507420494699645E-2</v>
      </c>
    </row>
    <row r="108" spans="1:29" x14ac:dyDescent="0.75">
      <c r="A108" s="1">
        <v>42004.041250000002</v>
      </c>
      <c r="B108" s="14">
        <v>40.700000000000003</v>
      </c>
      <c r="C108" s="14">
        <f t="shared" si="16"/>
        <v>4.0654564050115249E-2</v>
      </c>
      <c r="D108" s="14">
        <v>13.37</v>
      </c>
      <c r="E108" s="14">
        <f t="shared" si="17"/>
        <v>-0.1289902280130294</v>
      </c>
      <c r="F108" s="14">
        <v>104</v>
      </c>
      <c r="G108" s="14">
        <f t="shared" si="18"/>
        <v>-1.8867924528301883E-2</v>
      </c>
      <c r="H108" s="14">
        <v>84.795140000000004</v>
      </c>
      <c r="I108" s="14">
        <f t="shared" si="19"/>
        <v>-2.2662595331300439E-2</v>
      </c>
      <c r="J108" s="14">
        <v>81.2</v>
      </c>
      <c r="K108" s="14">
        <f t="shared" si="20"/>
        <v>3.0456852791878264E-2</v>
      </c>
      <c r="L108" s="14">
        <v>157.32</v>
      </c>
      <c r="M108" s="14">
        <f t="shared" si="21"/>
        <v>2.6089225150013107E-2</v>
      </c>
      <c r="N108" s="14">
        <v>35.44</v>
      </c>
      <c r="O108" s="14">
        <f t="shared" si="22"/>
        <v>-1.5008337965536356E-2</v>
      </c>
      <c r="P108" s="14">
        <v>29.018996999999999</v>
      </c>
      <c r="Q108" s="14">
        <f t="shared" si="23"/>
        <v>1.8925456460674006E-2</v>
      </c>
      <c r="R108" s="14">
        <v>288.51</v>
      </c>
      <c r="S108" s="14">
        <f t="shared" si="24"/>
        <v>-5.1172427401585119E-2</v>
      </c>
      <c r="T108" s="14">
        <v>31.72</v>
      </c>
      <c r="U108" s="14">
        <f t="shared" si="15"/>
        <v>6.6218487394957837E-2</v>
      </c>
      <c r="V108" s="14">
        <v>64712.070312999997</v>
      </c>
      <c r="W108">
        <f t="shared" si="25"/>
        <v>7.523029996686359E-3</v>
      </c>
      <c r="Z108">
        <f t="shared" si="26"/>
        <v>-3.4840588533225678E-2</v>
      </c>
      <c r="AA108">
        <f t="shared" si="27"/>
        <v>-5.9451596091205247E-2</v>
      </c>
      <c r="AB108">
        <f t="shared" si="28"/>
        <v>4.4342344487359195E-3</v>
      </c>
      <c r="AC108">
        <f t="shared" si="29"/>
        <v>2.0176773109243654E-2</v>
      </c>
    </row>
    <row r="109" spans="1:29" x14ac:dyDescent="0.75">
      <c r="A109" s="1">
        <v>42034.041250000002</v>
      </c>
      <c r="B109" s="14">
        <v>38.14</v>
      </c>
      <c r="C109" s="14">
        <f t="shared" si="16"/>
        <v>-6.2899262899262953E-2</v>
      </c>
      <c r="D109" s="14">
        <v>11.83</v>
      </c>
      <c r="E109" s="14">
        <f t="shared" si="17"/>
        <v>-0.11518324607329833</v>
      </c>
      <c r="F109" s="14">
        <v>116</v>
      </c>
      <c r="G109" s="14">
        <f t="shared" si="18"/>
        <v>0.11538461538461542</v>
      </c>
      <c r="H109" s="14">
        <v>90.629835999999997</v>
      </c>
      <c r="I109" s="14">
        <f t="shared" si="19"/>
        <v>6.8809320911552119E-2</v>
      </c>
      <c r="J109" s="14">
        <v>76.069999999999993</v>
      </c>
      <c r="K109" s="14">
        <f t="shared" si="20"/>
        <v>-6.3177339901478002E-2</v>
      </c>
      <c r="L109" s="14">
        <v>162.36000000000001</v>
      </c>
      <c r="M109" s="14">
        <f t="shared" si="21"/>
        <v>3.2036613272311332E-2</v>
      </c>
      <c r="N109" s="14">
        <v>34.450000000000003</v>
      </c>
      <c r="O109" s="14">
        <f t="shared" si="22"/>
        <v>-2.7934537246049551E-2</v>
      </c>
      <c r="P109" s="14">
        <v>26.315138999999999</v>
      </c>
      <c r="Q109" s="14">
        <f t="shared" si="23"/>
        <v>-9.3175446415325824E-2</v>
      </c>
      <c r="R109" s="14">
        <v>295.88</v>
      </c>
      <c r="S109" s="14">
        <f t="shared" si="24"/>
        <v>2.5545041766316556E-2</v>
      </c>
      <c r="T109" s="14">
        <v>28.95</v>
      </c>
      <c r="U109" s="14">
        <f t="shared" si="15"/>
        <v>-8.7326607818411062E-2</v>
      </c>
      <c r="V109" s="14">
        <v>64326.160155999998</v>
      </c>
      <c r="W109">
        <f t="shared" si="25"/>
        <v>-3.0890783026047253E-2</v>
      </c>
      <c r="Z109">
        <f t="shared" si="26"/>
        <v>-0.10152738261256389</v>
      </c>
      <c r="AA109">
        <f t="shared" si="27"/>
        <v>-5.3087958115183194E-2</v>
      </c>
      <c r="AB109">
        <f t="shared" si="28"/>
        <v>-2.1831007095110842E-2</v>
      </c>
      <c r="AC109">
        <f t="shared" si="29"/>
        <v>-2.6608417402269852E-2</v>
      </c>
    </row>
    <row r="110" spans="1:29" x14ac:dyDescent="0.75">
      <c r="A110" s="1">
        <v>42062.041250000002</v>
      </c>
      <c r="B110" s="14">
        <v>42.22</v>
      </c>
      <c r="C110" s="14">
        <f t="shared" si="16"/>
        <v>0.10697430519140005</v>
      </c>
      <c r="D110" s="14">
        <v>13.47</v>
      </c>
      <c r="E110" s="14">
        <f t="shared" si="17"/>
        <v>0.13863060016906181</v>
      </c>
      <c r="F110" s="14">
        <v>114.95</v>
      </c>
      <c r="G110" s="14">
        <f t="shared" si="18"/>
        <v>-9.0517241379309832E-3</v>
      </c>
      <c r="H110" s="14">
        <v>92.687526000000005</v>
      </c>
      <c r="I110" s="14">
        <f t="shared" si="19"/>
        <v>2.2704333261730714E-2</v>
      </c>
      <c r="J110" s="14">
        <v>81.19</v>
      </c>
      <c r="K110" s="14">
        <f t="shared" si="20"/>
        <v>6.73064282897331E-2</v>
      </c>
      <c r="L110" s="14">
        <v>183.13</v>
      </c>
      <c r="M110" s="14">
        <f t="shared" si="21"/>
        <v>0.12792559743779242</v>
      </c>
      <c r="N110" s="14">
        <v>37.409999999999997</v>
      </c>
      <c r="O110" s="14">
        <f t="shared" si="22"/>
        <v>8.5921625544266966E-2</v>
      </c>
      <c r="P110" s="14">
        <v>27.535945000000002</v>
      </c>
      <c r="Q110" s="14">
        <f t="shared" si="23"/>
        <v>4.6391774711887379E-2</v>
      </c>
      <c r="R110" s="14">
        <v>317.72000000000003</v>
      </c>
      <c r="S110" s="14">
        <f t="shared" si="24"/>
        <v>7.3813708260105582E-2</v>
      </c>
      <c r="T110" s="14">
        <v>36.590000000000003</v>
      </c>
      <c r="U110" s="14">
        <f t="shared" si="15"/>
        <v>0.26390328151986209</v>
      </c>
      <c r="V110" s="14">
        <v>63230.871094000002</v>
      </c>
      <c r="W110">
        <f t="shared" si="25"/>
        <v>0.16885849488998383</v>
      </c>
      <c r="Z110">
        <f t="shared" si="26"/>
        <v>0.15517576631201779</v>
      </c>
      <c r="AA110">
        <f t="shared" si="27"/>
        <v>6.3894843617920583E-2</v>
      </c>
      <c r="AB110">
        <f t="shared" si="28"/>
        <v>1.0869592814995213E-2</v>
      </c>
      <c r="AC110">
        <f t="shared" si="29"/>
        <v>8.0411329879101989E-2</v>
      </c>
    </row>
    <row r="111" spans="1:29" x14ac:dyDescent="0.75">
      <c r="A111" s="1">
        <v>42094.041250000002</v>
      </c>
      <c r="B111" s="14">
        <v>43.26</v>
      </c>
      <c r="C111" s="14">
        <f t="shared" si="16"/>
        <v>2.4632875414495548E-2</v>
      </c>
      <c r="D111" s="14">
        <v>12.86</v>
      </c>
      <c r="E111" s="14">
        <f t="shared" si="17"/>
        <v>-4.528582034149975E-2</v>
      </c>
      <c r="F111" s="14">
        <v>112</v>
      </c>
      <c r="G111" s="14">
        <f t="shared" si="18"/>
        <v>-2.566333188342762E-2</v>
      </c>
      <c r="H111" s="14">
        <v>91.452911999999998</v>
      </c>
      <c r="I111" s="14">
        <f t="shared" si="19"/>
        <v>-1.3320174281057029E-2</v>
      </c>
      <c r="J111" s="14">
        <v>88.52</v>
      </c>
      <c r="K111" s="14">
        <f t="shared" si="20"/>
        <v>9.0282054440201875E-2</v>
      </c>
      <c r="L111" s="14">
        <v>193.64</v>
      </c>
      <c r="M111" s="14">
        <f t="shared" si="21"/>
        <v>5.7390924479877592E-2</v>
      </c>
      <c r="N111" s="14">
        <v>39.299999999999997</v>
      </c>
      <c r="O111" s="14">
        <f t="shared" si="22"/>
        <v>5.0521251002405787E-2</v>
      </c>
      <c r="P111" s="14">
        <v>28.919523999999999</v>
      </c>
      <c r="Q111" s="14">
        <f t="shared" si="23"/>
        <v>5.0246287171186621E-2</v>
      </c>
      <c r="R111" s="14">
        <v>265.42</v>
      </c>
      <c r="S111" s="14">
        <f t="shared" si="24"/>
        <v>-0.16461034873473501</v>
      </c>
      <c r="T111" s="14">
        <v>38.11</v>
      </c>
      <c r="U111" s="14">
        <f t="shared" si="15"/>
        <v>4.1541404755397471E-2</v>
      </c>
      <c r="V111" s="14">
        <v>62528.058594000002</v>
      </c>
      <c r="W111">
        <f t="shared" si="25"/>
        <v>-6.1534471989668771E-2</v>
      </c>
      <c r="Z111">
        <f t="shared" si="26"/>
        <v>3.5581365177814028E-3</v>
      </c>
      <c r="AA111">
        <f t="shared" si="27"/>
        <v>-2.0872234595397235E-2</v>
      </c>
      <c r="AB111">
        <f t="shared" si="28"/>
        <v>1.1772705084209027E-2</v>
      </c>
      <c r="AC111">
        <f t="shared" si="29"/>
        <v>1.2657666028969611E-2</v>
      </c>
    </row>
    <row r="112" spans="1:29" x14ac:dyDescent="0.75">
      <c r="A112" s="1">
        <v>42124.041250000002</v>
      </c>
      <c r="B112" s="14">
        <v>41.2</v>
      </c>
      <c r="C112" s="14">
        <f t="shared" si="16"/>
        <v>-4.7619047619047561E-2</v>
      </c>
      <c r="D112" s="14">
        <v>13.68</v>
      </c>
      <c r="E112" s="14">
        <f t="shared" si="17"/>
        <v>6.3763608087091805E-2</v>
      </c>
      <c r="F112" s="14">
        <v>115</v>
      </c>
      <c r="G112" s="14">
        <f t="shared" si="18"/>
        <v>2.6785714285714191E-2</v>
      </c>
      <c r="H112" s="14">
        <v>99.894015999999993</v>
      </c>
      <c r="I112" s="14">
        <f t="shared" si="19"/>
        <v>9.2300002431852546E-2</v>
      </c>
      <c r="J112" s="14">
        <v>87.48</v>
      </c>
      <c r="K112" s="14">
        <f t="shared" si="20"/>
        <v>-1.1748757342973204E-2</v>
      </c>
      <c r="L112" s="14">
        <v>184.99</v>
      </c>
      <c r="M112" s="14">
        <f t="shared" si="21"/>
        <v>-4.4670522619293385E-2</v>
      </c>
      <c r="N112" s="14">
        <v>41.75</v>
      </c>
      <c r="O112" s="14">
        <f t="shared" si="22"/>
        <v>6.2340966921119678E-2</v>
      </c>
      <c r="P112" s="14">
        <v>30.773340000000001</v>
      </c>
      <c r="Q112" s="14">
        <f t="shared" si="23"/>
        <v>6.4102576515436382E-2</v>
      </c>
      <c r="R112" s="14">
        <v>260.20999999999998</v>
      </c>
      <c r="S112" s="14">
        <f t="shared" si="24"/>
        <v>-1.9629266822394853E-2</v>
      </c>
      <c r="T112" s="14">
        <v>36.24</v>
      </c>
      <c r="U112" s="14">
        <f t="shared" si="15"/>
        <v>-4.9068485961689778E-2</v>
      </c>
      <c r="V112" s="14">
        <v>63807.320312999997</v>
      </c>
      <c r="W112">
        <f t="shared" si="25"/>
        <v>-3.4348876392042316E-2</v>
      </c>
      <c r="Z112">
        <f t="shared" si="26"/>
        <v>2.9456712972380485E-2</v>
      </c>
      <c r="AA112">
        <f t="shared" si="27"/>
        <v>2.9388646967340611E-2</v>
      </c>
      <c r="AB112">
        <f t="shared" si="28"/>
        <v>1.5019233677566746E-2</v>
      </c>
      <c r="AC112">
        <f t="shared" si="29"/>
        <v>-1.4951167672526878E-2</v>
      </c>
    </row>
    <row r="113" spans="1:29" x14ac:dyDescent="0.75">
      <c r="A113" s="1">
        <v>42153.041250000002</v>
      </c>
      <c r="B113" s="14">
        <v>41.68</v>
      </c>
      <c r="C113" s="14">
        <f t="shared" si="16"/>
        <v>1.1650485436893065E-2</v>
      </c>
      <c r="D113" s="14">
        <v>13.33</v>
      </c>
      <c r="E113" s="14">
        <f t="shared" si="17"/>
        <v>-2.5584795321637377E-2</v>
      </c>
      <c r="F113" s="14">
        <v>125</v>
      </c>
      <c r="G113" s="14">
        <f t="shared" si="18"/>
        <v>8.6956521739130377E-2</v>
      </c>
      <c r="H113" s="14">
        <v>102.672748</v>
      </c>
      <c r="I113" s="14">
        <f t="shared" si="19"/>
        <v>2.7816801358752086E-2</v>
      </c>
      <c r="J113" s="14">
        <v>86.93</v>
      </c>
      <c r="K113" s="14">
        <f t="shared" si="20"/>
        <v>-6.2871513488796937E-3</v>
      </c>
      <c r="L113" s="14">
        <v>203.34</v>
      </c>
      <c r="M113" s="14">
        <f t="shared" si="21"/>
        <v>9.919455105681374E-2</v>
      </c>
      <c r="N113" s="14">
        <v>39.9</v>
      </c>
      <c r="O113" s="14">
        <f t="shared" si="22"/>
        <v>-4.4311377245509043E-2</v>
      </c>
      <c r="P113" s="14">
        <v>31.451564999999999</v>
      </c>
      <c r="Q113" s="14">
        <f t="shared" si="23"/>
        <v>2.2039369142250909E-2</v>
      </c>
      <c r="R113" s="14">
        <v>271.44</v>
      </c>
      <c r="S113" s="14">
        <f t="shared" si="24"/>
        <v>4.3157449752123433E-2</v>
      </c>
      <c r="T113" s="14">
        <v>38.020000000000003</v>
      </c>
      <c r="U113" s="14">
        <f t="shared" si="15"/>
        <v>4.9116997792494566E-2</v>
      </c>
      <c r="V113" s="14">
        <v>63966.980469000002</v>
      </c>
      <c r="W113">
        <f t="shared" si="25"/>
        <v>4.6137223772309E-2</v>
      </c>
      <c r="Z113">
        <f t="shared" si="26"/>
        <v>8.3377412536598181E-3</v>
      </c>
      <c r="AA113">
        <f t="shared" si="27"/>
        <v>-1.1792032163742666E-2</v>
      </c>
      <c r="AB113">
        <f t="shared" si="28"/>
        <v>5.1638241900293881E-3</v>
      </c>
      <c r="AC113">
        <f t="shared" si="29"/>
        <v>1.4965949227373095E-2</v>
      </c>
    </row>
    <row r="114" spans="1:29" x14ac:dyDescent="0.75">
      <c r="A114" s="1">
        <v>42185.041250000002</v>
      </c>
      <c r="B114" s="14">
        <v>40.659999999999997</v>
      </c>
      <c r="C114" s="14">
        <f t="shared" si="16"/>
        <v>-2.4472168905950165E-2</v>
      </c>
      <c r="D114" s="14">
        <v>13.322855000000001</v>
      </c>
      <c r="E114" s="14">
        <f t="shared" si="17"/>
        <v>-5.3600900225048154E-4</v>
      </c>
      <c r="F114" s="14">
        <v>122.5</v>
      </c>
      <c r="G114" s="14">
        <f t="shared" si="18"/>
        <v>-2.0000000000000018E-2</v>
      </c>
      <c r="H114" s="14">
        <v>100.948415</v>
      </c>
      <c r="I114" s="14">
        <f t="shared" si="19"/>
        <v>-1.6794456499790944E-2</v>
      </c>
      <c r="J114" s="14">
        <v>86.24</v>
      </c>
      <c r="K114" s="14">
        <f t="shared" si="20"/>
        <v>-7.9374209133786788E-3</v>
      </c>
      <c r="L114" s="14">
        <v>201.97</v>
      </c>
      <c r="M114" s="14">
        <f t="shared" si="21"/>
        <v>-6.7374840169175387E-3</v>
      </c>
      <c r="N114" s="14">
        <v>40.24</v>
      </c>
      <c r="O114" s="14">
        <f t="shared" si="22"/>
        <v>8.5213032581454851E-3</v>
      </c>
      <c r="P114" s="14">
        <v>30.673867000000001</v>
      </c>
      <c r="Q114" s="14">
        <f t="shared" si="23"/>
        <v>-2.4726845866016478E-2</v>
      </c>
      <c r="R114" s="14">
        <v>255.95</v>
      </c>
      <c r="S114" s="14">
        <f t="shared" si="24"/>
        <v>-5.7066018272914909E-2</v>
      </c>
      <c r="T114" s="14">
        <v>38.229999999999997</v>
      </c>
      <c r="U114" s="14">
        <f t="shared" si="15"/>
        <v>5.5234087322459935E-3</v>
      </c>
      <c r="V114" s="14">
        <v>64778.179687999997</v>
      </c>
      <c r="W114">
        <f t="shared" si="25"/>
        <v>-2.5771304770334458E-2</v>
      </c>
      <c r="Z114">
        <f t="shared" si="26"/>
        <v>-4.3575638948295534E-3</v>
      </c>
      <c r="AA114">
        <f t="shared" si="27"/>
        <v>-2.4704654913724691E-4</v>
      </c>
      <c r="AB114">
        <f t="shared" si="28"/>
        <v>-5.793499986407661E-3</v>
      </c>
      <c r="AC114">
        <f t="shared" si="29"/>
        <v>1.6829826407153544E-3</v>
      </c>
    </row>
    <row r="115" spans="1:29" x14ac:dyDescent="0.75">
      <c r="A115" s="1">
        <v>42216.041250000002</v>
      </c>
      <c r="B115" s="14">
        <v>43.23</v>
      </c>
      <c r="C115" s="14">
        <f t="shared" si="16"/>
        <v>6.3207083128381747E-2</v>
      </c>
      <c r="D115" s="14">
        <v>12.69</v>
      </c>
      <c r="E115" s="14">
        <f t="shared" si="17"/>
        <v>-4.7501455206110155E-2</v>
      </c>
      <c r="F115" s="14">
        <v>125</v>
      </c>
      <c r="G115" s="14">
        <f t="shared" si="18"/>
        <v>2.0408163265306145E-2</v>
      </c>
      <c r="H115" s="14">
        <v>119.19447599999999</v>
      </c>
      <c r="I115" s="14">
        <f t="shared" si="19"/>
        <v>0.18074638418047484</v>
      </c>
      <c r="J115" s="14">
        <v>84.8</v>
      </c>
      <c r="K115" s="14">
        <f t="shared" si="20"/>
        <v>-1.6697588126159513E-2</v>
      </c>
      <c r="L115" s="14">
        <v>211.11</v>
      </c>
      <c r="M115" s="14">
        <f t="shared" si="21"/>
        <v>4.5254245680051541E-2</v>
      </c>
      <c r="N115" s="14">
        <v>43.38</v>
      </c>
      <c r="O115" s="14">
        <f t="shared" si="22"/>
        <v>7.8031809145129305E-2</v>
      </c>
      <c r="P115" s="14">
        <v>33.793703000000001</v>
      </c>
      <c r="Q115" s="14">
        <f t="shared" si="23"/>
        <v>0.1017099017870815</v>
      </c>
      <c r="R115" s="14">
        <v>244.57</v>
      </c>
      <c r="S115" s="14">
        <f t="shared" si="24"/>
        <v>-4.4461808947059978E-2</v>
      </c>
      <c r="T115" s="14">
        <v>39.14</v>
      </c>
      <c r="U115" s="14">
        <f t="shared" si="15"/>
        <v>2.3803295840962635E-2</v>
      </c>
      <c r="V115" s="14">
        <v>65595.40625</v>
      </c>
      <c r="W115">
        <f t="shared" si="25"/>
        <v>-1.0329256553048671E-2</v>
      </c>
      <c r="Z115">
        <f t="shared" si="26"/>
        <v>9.1900735269583415E-3</v>
      </c>
      <c r="AA115">
        <f t="shared" si="27"/>
        <v>-2.189342070449617E-2</v>
      </c>
      <c r="AB115">
        <f t="shared" si="28"/>
        <v>2.3830629988713197E-2</v>
      </c>
      <c r="AC115">
        <f t="shared" si="29"/>
        <v>7.2528642427413153E-3</v>
      </c>
    </row>
    <row r="116" spans="1:29" x14ac:dyDescent="0.75">
      <c r="A116" s="1">
        <v>42247.041250000002</v>
      </c>
      <c r="B116" s="14">
        <v>43.08</v>
      </c>
      <c r="C116" s="14">
        <f t="shared" si="16"/>
        <v>-3.4698126301179189E-3</v>
      </c>
      <c r="D116" s="14">
        <v>12.14</v>
      </c>
      <c r="E116" s="14">
        <f t="shared" si="17"/>
        <v>-4.3341213553979463E-2</v>
      </c>
      <c r="F116" s="14">
        <v>128.99</v>
      </c>
      <c r="G116" s="14">
        <f t="shared" si="18"/>
        <v>3.192000000000017E-2</v>
      </c>
      <c r="H116" s="14">
        <v>131.55531500000001</v>
      </c>
      <c r="I116" s="14">
        <f t="shared" si="19"/>
        <v>0.10370311959758949</v>
      </c>
      <c r="J116" s="14">
        <v>80.41</v>
      </c>
      <c r="K116" s="14">
        <f t="shared" si="20"/>
        <v>-5.1768867924528283E-2</v>
      </c>
      <c r="L116" s="14">
        <v>225.12</v>
      </c>
      <c r="M116" s="14">
        <f t="shared" si="21"/>
        <v>6.6363507176353531E-2</v>
      </c>
      <c r="N116" s="14">
        <v>40.98</v>
      </c>
      <c r="O116" s="14">
        <f t="shared" si="22"/>
        <v>-5.5325034578146748E-2</v>
      </c>
      <c r="P116" s="14">
        <v>33.956477</v>
      </c>
      <c r="Q116" s="14">
        <f t="shared" si="23"/>
        <v>4.8166961756159754E-3</v>
      </c>
      <c r="R116" s="14">
        <v>238.42</v>
      </c>
      <c r="S116" s="14">
        <f t="shared" si="24"/>
        <v>-2.5146174919246089E-2</v>
      </c>
      <c r="T116" s="14">
        <v>40.130000000000003</v>
      </c>
      <c r="U116" s="14">
        <f t="shared" si="15"/>
        <v>2.5293817066939228E-2</v>
      </c>
      <c r="V116" s="14">
        <v>65616.429688000004</v>
      </c>
      <c r="W116">
        <f t="shared" si="25"/>
        <v>7.382107384656944E-5</v>
      </c>
      <c r="Z116">
        <f t="shared" si="26"/>
        <v>-1.1140387352785927E-2</v>
      </c>
      <c r="AA116">
        <f t="shared" si="27"/>
        <v>-1.9975965327029135E-2</v>
      </c>
      <c r="AB116">
        <f t="shared" si="28"/>
        <v>1.1285519139468232E-3</v>
      </c>
      <c r="AC116">
        <f t="shared" si="29"/>
        <v>7.7070260602963838E-3</v>
      </c>
    </row>
    <row r="117" spans="1:29" x14ac:dyDescent="0.75">
      <c r="A117" s="1">
        <v>42277.041250000002</v>
      </c>
      <c r="B117" s="14">
        <v>42.81</v>
      </c>
      <c r="C117" s="14">
        <f t="shared" si="16"/>
        <v>-6.2674094707519945E-3</v>
      </c>
      <c r="D117" s="14">
        <v>10.9</v>
      </c>
      <c r="E117" s="14">
        <f t="shared" si="17"/>
        <v>-0.10214168039538718</v>
      </c>
      <c r="F117" s="14">
        <v>131.49</v>
      </c>
      <c r="G117" s="14">
        <f t="shared" si="18"/>
        <v>1.9381347391270731E-2</v>
      </c>
      <c r="H117" s="14">
        <v>137.777906</v>
      </c>
      <c r="I117" s="14">
        <f t="shared" si="19"/>
        <v>4.7300186997385696E-2</v>
      </c>
      <c r="J117" s="14">
        <v>82.8</v>
      </c>
      <c r="K117" s="14">
        <f t="shared" si="20"/>
        <v>2.9722671309538651E-2</v>
      </c>
      <c r="L117" s="14">
        <v>234.8</v>
      </c>
      <c r="M117" s="14">
        <f t="shared" si="21"/>
        <v>4.299928926794605E-2</v>
      </c>
      <c r="N117" s="14">
        <v>44.71</v>
      </c>
      <c r="O117" s="14">
        <f t="shared" si="22"/>
        <v>9.1020009760859111E-2</v>
      </c>
      <c r="P117" s="14">
        <v>34.910066999999998</v>
      </c>
      <c r="Q117" s="14">
        <f t="shared" si="23"/>
        <v>2.8082713056481134E-2</v>
      </c>
      <c r="R117" s="14">
        <v>230.43</v>
      </c>
      <c r="S117" s="14">
        <f t="shared" si="24"/>
        <v>-3.3512289237479953E-2</v>
      </c>
      <c r="T117" s="14">
        <v>41.51</v>
      </c>
      <c r="U117" s="14">
        <f t="shared" si="15"/>
        <v>3.4388238225766088E-2</v>
      </c>
      <c r="V117" s="14">
        <v>65636.359375</v>
      </c>
      <c r="W117">
        <f t="shared" si="25"/>
        <v>4.3797449414306744E-4</v>
      </c>
      <c r="Z117">
        <f t="shared" si="26"/>
        <v>-3.0019224637709493E-2</v>
      </c>
      <c r="AA117">
        <f t="shared" si="27"/>
        <v>-4.7077100494233949E-2</v>
      </c>
      <c r="AB117">
        <f t="shared" si="28"/>
        <v>6.5797796691335298E-3</v>
      </c>
      <c r="AC117">
        <f t="shared" si="29"/>
        <v>1.0478096187390928E-2</v>
      </c>
    </row>
    <row r="118" spans="1:29" x14ac:dyDescent="0.75">
      <c r="A118" s="1">
        <v>42307.041250000002</v>
      </c>
      <c r="B118" s="14">
        <v>46.87</v>
      </c>
      <c r="C118" s="14">
        <f t="shared" si="16"/>
        <v>9.4837654753562095E-2</v>
      </c>
      <c r="D118" s="14">
        <v>9.68</v>
      </c>
      <c r="E118" s="14">
        <f t="shared" si="17"/>
        <v>-0.11192660550458722</v>
      </c>
      <c r="F118" s="14">
        <v>137</v>
      </c>
      <c r="G118" s="14">
        <f t="shared" si="18"/>
        <v>4.1904327325271717E-2</v>
      </c>
      <c r="H118" s="14">
        <v>139.41789600000001</v>
      </c>
      <c r="I118" s="14">
        <f t="shared" si="19"/>
        <v>1.1903142148204982E-2</v>
      </c>
      <c r="J118" s="14">
        <v>88.95</v>
      </c>
      <c r="K118" s="14">
        <f t="shared" si="20"/>
        <v>7.4275362318840576E-2</v>
      </c>
      <c r="L118" s="14">
        <v>254.9</v>
      </c>
      <c r="M118" s="14">
        <f t="shared" si="21"/>
        <v>8.5604770017035703E-2</v>
      </c>
      <c r="N118" s="14">
        <v>45.68</v>
      </c>
      <c r="O118" s="14">
        <f t="shared" si="22"/>
        <v>2.1695370163274497E-2</v>
      </c>
      <c r="P118" s="14">
        <v>36.398516000000001</v>
      </c>
      <c r="Q118" s="14">
        <f t="shared" si="23"/>
        <v>4.2636669817906814E-2</v>
      </c>
      <c r="R118" s="14">
        <v>219.6</v>
      </c>
      <c r="S118" s="14">
        <f t="shared" si="24"/>
        <v>-4.6999088660330757E-2</v>
      </c>
      <c r="T118" s="14">
        <v>43.58</v>
      </c>
      <c r="U118" s="14">
        <f t="shared" si="15"/>
        <v>4.9867501806793557E-2</v>
      </c>
      <c r="V118" s="14">
        <v>65347.078125</v>
      </c>
      <c r="W118">
        <f t="shared" si="25"/>
        <v>1.4342065732314002E-3</v>
      </c>
      <c r="Z118">
        <f t="shared" si="26"/>
        <v>-2.6402572938198678E-2</v>
      </c>
      <c r="AA118">
        <f t="shared" si="27"/>
        <v>-5.1586972477064244E-2</v>
      </c>
      <c r="AB118">
        <f t="shared" si="28"/>
        <v>9.989771738335566E-3</v>
      </c>
      <c r="AC118">
        <f t="shared" si="29"/>
        <v>1.5194627800529999E-2</v>
      </c>
    </row>
    <row r="119" spans="1:29" x14ac:dyDescent="0.75">
      <c r="A119" s="1">
        <v>42338.041250000002</v>
      </c>
      <c r="B119" s="14">
        <v>45.88</v>
      </c>
      <c r="C119" s="14">
        <f t="shared" si="16"/>
        <v>-2.1122253040324224E-2</v>
      </c>
      <c r="D119" s="14">
        <v>9.7200000000000006</v>
      </c>
      <c r="E119" s="14">
        <f t="shared" si="17"/>
        <v>4.1322314049587749E-3</v>
      </c>
      <c r="F119" s="14">
        <v>141</v>
      </c>
      <c r="G119" s="14">
        <f t="shared" si="18"/>
        <v>2.9197080291970767E-2</v>
      </c>
      <c r="H119" s="14">
        <v>141.32028399999999</v>
      </c>
      <c r="I119" s="14">
        <f t="shared" si="19"/>
        <v>1.3645220983681927E-2</v>
      </c>
      <c r="J119" s="14">
        <v>89.49</v>
      </c>
      <c r="K119" s="14">
        <f t="shared" si="20"/>
        <v>6.0708263069138013E-3</v>
      </c>
      <c r="L119" s="14">
        <v>241.29</v>
      </c>
      <c r="M119" s="14">
        <f t="shared" si="21"/>
        <v>-5.3393487642212634E-2</v>
      </c>
      <c r="N119" s="14">
        <v>44.83</v>
      </c>
      <c r="O119" s="14">
        <f t="shared" si="22"/>
        <v>-1.8607705779334571E-2</v>
      </c>
      <c r="P119" s="14">
        <v>36.096995</v>
      </c>
      <c r="Q119" s="14">
        <f t="shared" si="23"/>
        <v>-8.2838816835280049E-3</v>
      </c>
      <c r="R119" s="14">
        <v>207.42</v>
      </c>
      <c r="S119" s="14">
        <f t="shared" si="24"/>
        <v>-5.546448087431699E-2</v>
      </c>
      <c r="T119" s="14">
        <v>43.88</v>
      </c>
      <c r="U119" s="14">
        <f t="shared" si="15"/>
        <v>6.883891693437505E-3</v>
      </c>
      <c r="V119" s="14">
        <v>64366.699219000002</v>
      </c>
      <c r="W119">
        <f t="shared" si="25"/>
        <v>-2.4290294590439743E-2</v>
      </c>
      <c r="Z119">
        <f t="shared" si="26"/>
        <v>2.0611537750852955E-3</v>
      </c>
      <c r="AA119">
        <f t="shared" si="27"/>
        <v>1.9045454545454992E-3</v>
      </c>
      <c r="AB119">
        <f t="shared" si="28"/>
        <v>-1.9409134784506117E-3</v>
      </c>
      <c r="AC119">
        <f t="shared" si="29"/>
        <v>2.0975217989904079E-3</v>
      </c>
    </row>
    <row r="120" spans="1:29" x14ac:dyDescent="0.75">
      <c r="A120" s="1">
        <v>42369.041250000002</v>
      </c>
      <c r="B120" s="14">
        <v>45.95</v>
      </c>
      <c r="C120" s="14">
        <f t="shared" si="16"/>
        <v>1.5257192676547682E-3</v>
      </c>
      <c r="D120" s="14">
        <v>8.7200000000000006</v>
      </c>
      <c r="E120" s="14">
        <f t="shared" si="17"/>
        <v>-0.10288065843621397</v>
      </c>
      <c r="F120" s="14">
        <v>139.41</v>
      </c>
      <c r="G120" s="14">
        <f t="shared" si="18"/>
        <v>-1.1276595744680873E-2</v>
      </c>
      <c r="H120" s="14">
        <v>142.49170599999999</v>
      </c>
      <c r="I120" s="14">
        <f t="shared" si="19"/>
        <v>8.2891285443495999E-3</v>
      </c>
      <c r="J120" s="14">
        <v>94.99</v>
      </c>
      <c r="K120" s="14">
        <f t="shared" si="20"/>
        <v>6.1459380936417451E-2</v>
      </c>
      <c r="L120" s="14">
        <v>241.75</v>
      </c>
      <c r="M120" s="14">
        <f t="shared" si="21"/>
        <v>1.9064196609888118E-3</v>
      </c>
      <c r="N120" s="14">
        <v>44.77</v>
      </c>
      <c r="O120" s="14">
        <f t="shared" si="22"/>
        <v>-1.3383894713360212E-3</v>
      </c>
      <c r="P120" s="14">
        <v>37.202851000000003</v>
      </c>
      <c r="Q120" s="14">
        <f t="shared" si="23"/>
        <v>3.063568033848818E-2</v>
      </c>
      <c r="R120" s="14">
        <v>177.22</v>
      </c>
      <c r="S120" s="14">
        <f t="shared" si="24"/>
        <v>-0.14559830296017739</v>
      </c>
      <c r="T120" s="14">
        <v>43.49</v>
      </c>
      <c r="U120" s="14">
        <f t="shared" si="15"/>
        <v>-8.8878760255242106E-3</v>
      </c>
      <c r="V120" s="14">
        <v>64308.289062999997</v>
      </c>
      <c r="W120">
        <f t="shared" si="25"/>
        <v>-7.7243089492850803E-2</v>
      </c>
      <c r="Z120">
        <f t="shared" si="26"/>
        <v>-4.2947891394920459E-2</v>
      </c>
      <c r="AA120">
        <f t="shared" si="27"/>
        <v>-4.7417695473251018E-2</v>
      </c>
      <c r="AB120">
        <f t="shared" si="28"/>
        <v>7.1779399033077805E-3</v>
      </c>
      <c r="AC120">
        <f t="shared" si="29"/>
        <v>-2.7081358249772271E-3</v>
      </c>
    </row>
    <row r="121" spans="1:29" x14ac:dyDescent="0.75">
      <c r="A121" s="1">
        <v>42398.041250000002</v>
      </c>
      <c r="B121" s="14">
        <v>50.66</v>
      </c>
      <c r="C121" s="14">
        <f t="shared" si="16"/>
        <v>0.10250272034820451</v>
      </c>
      <c r="D121" s="14">
        <v>7.58</v>
      </c>
      <c r="E121" s="14">
        <f t="shared" si="17"/>
        <v>-0.13073394495412849</v>
      </c>
      <c r="F121" s="14">
        <v>137.43</v>
      </c>
      <c r="G121" s="14">
        <f t="shared" si="18"/>
        <v>-1.42027114267268E-2</v>
      </c>
      <c r="H121" s="14">
        <v>142.763476</v>
      </c>
      <c r="I121" s="14">
        <f t="shared" si="19"/>
        <v>1.9072689044792313E-3</v>
      </c>
      <c r="J121" s="14">
        <v>94.63</v>
      </c>
      <c r="K121" s="14">
        <f t="shared" si="20"/>
        <v>-3.7898726181703202E-3</v>
      </c>
      <c r="L121" s="14">
        <v>274.8</v>
      </c>
      <c r="M121" s="14">
        <f t="shared" si="21"/>
        <v>0.13671147880041379</v>
      </c>
      <c r="N121" s="14">
        <v>43.34</v>
      </c>
      <c r="O121" s="14">
        <f t="shared" si="22"/>
        <v>-3.1941031941031928E-2</v>
      </c>
      <c r="P121" s="14">
        <v>39.958275999999998</v>
      </c>
      <c r="Q121" s="14">
        <f t="shared" si="23"/>
        <v>7.4064888199025347E-2</v>
      </c>
      <c r="R121" s="14">
        <v>171.99</v>
      </c>
      <c r="S121" s="14">
        <f t="shared" si="24"/>
        <v>-2.9511341835007254E-2</v>
      </c>
      <c r="T121" s="14">
        <v>45.58</v>
      </c>
      <c r="U121" s="14">
        <f t="shared" si="15"/>
        <v>4.8057024603356924E-2</v>
      </c>
      <c r="V121" s="14">
        <v>64141.359375</v>
      </c>
      <c r="W121">
        <f t="shared" si="25"/>
        <v>9.2728413841748347E-3</v>
      </c>
      <c r="Z121">
        <f t="shared" si="26"/>
        <v>-2.8258896527683323E-2</v>
      </c>
      <c r="AA121">
        <f t="shared" si="27"/>
        <v>-6.0255275229357814E-2</v>
      </c>
      <c r="AB121">
        <f t="shared" si="28"/>
        <v>1.7353403305031639E-2</v>
      </c>
      <c r="AC121">
        <f t="shared" si="29"/>
        <v>1.4642975396642856E-2</v>
      </c>
    </row>
    <row r="122" spans="1:29" x14ac:dyDescent="0.75">
      <c r="A122" s="1">
        <v>42429.041250000002</v>
      </c>
      <c r="B122" s="14">
        <v>51.5</v>
      </c>
      <c r="C122" s="14">
        <f t="shared" si="16"/>
        <v>1.6581129095933678E-2</v>
      </c>
      <c r="D122" s="14">
        <v>9.25</v>
      </c>
      <c r="E122" s="14">
        <f t="shared" si="17"/>
        <v>0.22031662269129293</v>
      </c>
      <c r="F122" s="14">
        <v>138</v>
      </c>
      <c r="G122" s="14">
        <f t="shared" si="18"/>
        <v>4.1475660336169895E-3</v>
      </c>
      <c r="H122" s="14">
        <v>134.329241</v>
      </c>
      <c r="I122" s="14">
        <f t="shared" si="19"/>
        <v>-5.9078380803784913E-2</v>
      </c>
      <c r="J122" s="14">
        <v>91.62</v>
      </c>
      <c r="K122" s="14">
        <f t="shared" si="20"/>
        <v>-3.1808094684560806E-2</v>
      </c>
      <c r="L122" s="14">
        <v>291.32</v>
      </c>
      <c r="M122" s="14">
        <f t="shared" si="21"/>
        <v>6.0116448326055227E-2</v>
      </c>
      <c r="N122" s="14">
        <v>38.33</v>
      </c>
      <c r="O122" s="14">
        <f t="shared" si="22"/>
        <v>-0.1155976003691741</v>
      </c>
      <c r="P122" s="14">
        <v>36.677568999999998</v>
      </c>
      <c r="Q122" s="14">
        <f t="shared" si="23"/>
        <v>-8.2103316969931339E-2</v>
      </c>
      <c r="R122" s="14">
        <v>213.14</v>
      </c>
      <c r="S122" s="14">
        <f t="shared" si="24"/>
        <v>0.23925809640095341</v>
      </c>
      <c r="T122" s="14">
        <v>42.7</v>
      </c>
      <c r="U122" s="14">
        <f t="shared" si="15"/>
        <v>-6.3185607722685333E-2</v>
      </c>
      <c r="V122" s="14">
        <v>65014.371094000002</v>
      </c>
      <c r="W122">
        <f t="shared" si="25"/>
        <v>8.803624433913404E-2</v>
      </c>
      <c r="Z122">
        <f t="shared" si="26"/>
        <v>6.3054469559259765E-2</v>
      </c>
      <c r="AA122">
        <f t="shared" si="27"/>
        <v>0.1015439313984169</v>
      </c>
      <c r="AB122">
        <f t="shared" si="28"/>
        <v>-1.9236807166054914E-2</v>
      </c>
      <c r="AC122">
        <f t="shared" si="29"/>
        <v>-1.9252654673102224E-2</v>
      </c>
    </row>
    <row r="123" spans="1:29" x14ac:dyDescent="0.75">
      <c r="A123" s="1">
        <v>42460.041250000002</v>
      </c>
      <c r="B123" s="14">
        <v>51.07</v>
      </c>
      <c r="C123" s="14">
        <f t="shared" si="16"/>
        <v>-8.3495145631068413E-3</v>
      </c>
      <c r="D123" s="14">
        <v>11.6</v>
      </c>
      <c r="E123" s="14">
        <f t="shared" si="17"/>
        <v>0.25405405405405412</v>
      </c>
      <c r="F123" s="14">
        <v>136.5</v>
      </c>
      <c r="G123" s="14">
        <f t="shared" si="18"/>
        <v>-1.0869565217391353E-2</v>
      </c>
      <c r="H123" s="14">
        <v>144.450322</v>
      </c>
      <c r="I123" s="14">
        <f t="shared" si="19"/>
        <v>7.5345330061084903E-2</v>
      </c>
      <c r="J123" s="14">
        <v>97.43</v>
      </c>
      <c r="K123" s="14">
        <f t="shared" si="20"/>
        <v>6.3414101724514227E-2</v>
      </c>
      <c r="L123" s="14">
        <v>273.70999999999998</v>
      </c>
      <c r="M123" s="14">
        <f t="shared" si="21"/>
        <v>-6.0448990800494373E-2</v>
      </c>
      <c r="N123" s="14">
        <v>38.11</v>
      </c>
      <c r="O123" s="14">
        <f t="shared" si="22"/>
        <v>-5.7396295330028879E-3</v>
      </c>
      <c r="P123" s="14">
        <v>38.308706999999998</v>
      </c>
      <c r="Q123" s="14">
        <f t="shared" si="23"/>
        <v>4.4472358568802717E-2</v>
      </c>
      <c r="R123" s="14">
        <v>217.23</v>
      </c>
      <c r="S123" s="14">
        <f t="shared" si="24"/>
        <v>1.9189265271652545E-2</v>
      </c>
      <c r="T123" s="14">
        <v>41</v>
      </c>
      <c r="U123" s="14">
        <f t="shared" si="15"/>
        <v>-3.9812646370023463E-2</v>
      </c>
      <c r="V123" s="14">
        <v>65022.238280999998</v>
      </c>
      <c r="W123">
        <f t="shared" si="25"/>
        <v>-1.0311690549185459E-2</v>
      </c>
      <c r="Z123">
        <f t="shared" si="26"/>
        <v>0.11538247377723787</v>
      </c>
      <c r="AA123">
        <f t="shared" si="27"/>
        <v>0.11709351351351353</v>
      </c>
      <c r="AB123">
        <f t="shared" si="28"/>
        <v>1.0419873612670476E-2</v>
      </c>
      <c r="AC123">
        <f t="shared" si="29"/>
        <v>-1.213091334894615E-2</v>
      </c>
    </row>
    <row r="124" spans="1:29" x14ac:dyDescent="0.75">
      <c r="A124" s="1">
        <v>42489.041250000002</v>
      </c>
      <c r="B124" s="14">
        <v>52.45</v>
      </c>
      <c r="C124" s="14">
        <f t="shared" si="16"/>
        <v>2.7021734873702741E-2</v>
      </c>
      <c r="D124" s="14">
        <v>12.28</v>
      </c>
      <c r="E124" s="14">
        <f t="shared" si="17"/>
        <v>5.862068965517242E-2</v>
      </c>
      <c r="F124" s="14">
        <v>152</v>
      </c>
      <c r="G124" s="14">
        <f t="shared" si="18"/>
        <v>0.11355311355311359</v>
      </c>
      <c r="H124" s="14">
        <v>151.90993399999999</v>
      </c>
      <c r="I124" s="14">
        <f t="shared" si="19"/>
        <v>5.1641366365386077E-2</v>
      </c>
      <c r="J124" s="14">
        <v>97.67</v>
      </c>
      <c r="K124" s="14">
        <f t="shared" si="20"/>
        <v>2.4633069896335957E-3</v>
      </c>
      <c r="L124" s="14">
        <v>251.33</v>
      </c>
      <c r="M124" s="14">
        <f t="shared" si="21"/>
        <v>-8.1765372109166568E-2</v>
      </c>
      <c r="N124" s="14">
        <v>38.08</v>
      </c>
      <c r="O124" s="14">
        <f t="shared" si="22"/>
        <v>-7.8719496195223115E-4</v>
      </c>
      <c r="P124" s="14">
        <v>37.525391999999997</v>
      </c>
      <c r="Q124" s="14">
        <f t="shared" si="23"/>
        <v>-2.0447440316897159E-2</v>
      </c>
      <c r="R124" s="14">
        <v>268.95</v>
      </c>
      <c r="S124" s="14">
        <f t="shared" si="24"/>
        <v>0.23808866178704591</v>
      </c>
      <c r="T124" s="14">
        <v>42.55</v>
      </c>
      <c r="U124" s="14">
        <f t="shared" si="15"/>
        <v>3.7804878048780521E-2</v>
      </c>
      <c r="V124" s="14">
        <v>64871.699219000002</v>
      </c>
      <c r="W124">
        <f t="shared" si="25"/>
        <v>0.13794676991791321</v>
      </c>
      <c r="Z124">
        <f t="shared" si="26"/>
        <v>3.3746586937283385E-2</v>
      </c>
      <c r="AA124">
        <f t="shared" si="27"/>
        <v>2.7018275862068966E-2</v>
      </c>
      <c r="AB124">
        <f t="shared" si="28"/>
        <v>-4.7908352662490048E-3</v>
      </c>
      <c r="AC124">
        <f t="shared" si="29"/>
        <v>1.1519146341463426E-2</v>
      </c>
    </row>
    <row r="125" spans="1:29" x14ac:dyDescent="0.75">
      <c r="A125" s="1">
        <v>42521.041250000002</v>
      </c>
      <c r="B125" s="14">
        <v>54.41</v>
      </c>
      <c r="C125" s="14">
        <f t="shared" si="16"/>
        <v>3.7368922783603375E-2</v>
      </c>
      <c r="D125" s="14">
        <v>11.28</v>
      </c>
      <c r="E125" s="14">
        <f t="shared" si="17"/>
        <v>-8.1433224755700362E-2</v>
      </c>
      <c r="F125" s="14">
        <v>154</v>
      </c>
      <c r="G125" s="14">
        <f t="shared" si="18"/>
        <v>1.3157894736842035E-2</v>
      </c>
      <c r="H125" s="14">
        <v>178.298777</v>
      </c>
      <c r="I125" s="14">
        <f t="shared" si="19"/>
        <v>0.1737137414594625</v>
      </c>
      <c r="J125" s="14">
        <v>96.51</v>
      </c>
      <c r="K125" s="14">
        <f t="shared" si="20"/>
        <v>-1.1876727756731764E-2</v>
      </c>
      <c r="L125" s="14">
        <v>265.32</v>
      </c>
      <c r="M125" s="14">
        <f t="shared" si="21"/>
        <v>5.566386822106395E-2</v>
      </c>
      <c r="N125" s="14">
        <v>38.9</v>
      </c>
      <c r="O125" s="14">
        <f t="shared" si="22"/>
        <v>2.1533613445378075E-2</v>
      </c>
      <c r="P125" s="14">
        <v>40.400618999999999</v>
      </c>
      <c r="Q125" s="14">
        <f t="shared" si="23"/>
        <v>7.6620838497836408E-2</v>
      </c>
      <c r="R125" s="14">
        <v>294.38</v>
      </c>
      <c r="S125" s="14">
        <f t="shared" si="24"/>
        <v>9.4552890871909323E-2</v>
      </c>
      <c r="T125" s="14">
        <v>42.84</v>
      </c>
      <c r="U125" s="14">
        <f t="shared" si="15"/>
        <v>6.815511163337451E-3</v>
      </c>
      <c r="V125" s="14">
        <v>65521.011719000002</v>
      </c>
      <c r="W125">
        <f t="shared" si="25"/>
        <v>5.0684201017623387E-2</v>
      </c>
      <c r="Z125">
        <f t="shared" si="26"/>
        <v>-1.7503624578390303E-2</v>
      </c>
      <c r="AA125">
        <f t="shared" si="27"/>
        <v>-3.7532573289902296E-2</v>
      </c>
      <c r="AB125">
        <f t="shared" si="28"/>
        <v>1.795226246004307E-2</v>
      </c>
      <c r="AC125">
        <f t="shared" si="29"/>
        <v>2.0766862514689215E-3</v>
      </c>
    </row>
    <row r="126" spans="1:29" x14ac:dyDescent="0.75">
      <c r="A126" s="1">
        <v>42551.041250000002</v>
      </c>
      <c r="B126" s="14">
        <v>57.22</v>
      </c>
      <c r="C126" s="14">
        <f t="shared" si="16"/>
        <v>5.1644918213563651E-2</v>
      </c>
      <c r="D126" s="14">
        <v>10.87</v>
      </c>
      <c r="E126" s="14">
        <f t="shared" si="17"/>
        <v>-3.6347517730496492E-2</v>
      </c>
      <c r="F126" s="14">
        <v>145.80000000000001</v>
      </c>
      <c r="G126" s="14">
        <f t="shared" si="18"/>
        <v>-5.3246753246753209E-2</v>
      </c>
      <c r="H126" s="14">
        <v>179.47412199999999</v>
      </c>
      <c r="I126" s="14">
        <f t="shared" si="19"/>
        <v>6.5919969826826463E-3</v>
      </c>
      <c r="J126" s="14">
        <v>102.52</v>
      </c>
      <c r="K126" s="14">
        <f t="shared" si="20"/>
        <v>6.2273339550305673E-2</v>
      </c>
      <c r="L126" s="14">
        <v>263.8</v>
      </c>
      <c r="M126" s="14">
        <f t="shared" si="21"/>
        <v>-5.7289311020654043E-3</v>
      </c>
      <c r="N126" s="14">
        <v>40.159999999999997</v>
      </c>
      <c r="O126" s="14">
        <f t="shared" si="22"/>
        <v>3.239074550128529E-2</v>
      </c>
      <c r="P126" s="14">
        <v>39.746321000000002</v>
      </c>
      <c r="Q126" s="14">
        <f t="shared" si="23"/>
        <v>-1.6195246909459393E-2</v>
      </c>
      <c r="R126" s="14">
        <v>435.52</v>
      </c>
      <c r="S126" s="14">
        <f t="shared" si="24"/>
        <v>0.4794483320877776</v>
      </c>
      <c r="T126" s="14">
        <v>43.91</v>
      </c>
      <c r="U126" s="14">
        <f t="shared" si="15"/>
        <v>2.4976657329598417E-2</v>
      </c>
      <c r="V126" s="14">
        <v>66062.617188000004</v>
      </c>
      <c r="W126">
        <f t="shared" si="25"/>
        <v>0.25221249470868801</v>
      </c>
      <c r="Z126">
        <f t="shared" si="26"/>
        <v>-1.2936729784543532E-2</v>
      </c>
      <c r="AA126">
        <f t="shared" si="27"/>
        <v>-1.6752570921985833E-2</v>
      </c>
      <c r="AB126">
        <f t="shared" si="28"/>
        <v>-3.7945463508863358E-3</v>
      </c>
      <c r="AC126">
        <f t="shared" si="29"/>
        <v>7.6103874883286385E-3</v>
      </c>
    </row>
    <row r="127" spans="1:29" x14ac:dyDescent="0.75">
      <c r="A127" s="1">
        <v>42580.041250000002</v>
      </c>
      <c r="B127" s="14">
        <v>55.89</v>
      </c>
      <c r="C127" s="14">
        <f t="shared" si="16"/>
        <v>-2.3243621111499468E-2</v>
      </c>
      <c r="D127" s="14">
        <v>13.74</v>
      </c>
      <c r="E127" s="14">
        <f t="shared" si="17"/>
        <v>0.26402943882244712</v>
      </c>
      <c r="F127" s="14">
        <v>148.5</v>
      </c>
      <c r="G127" s="14">
        <f t="shared" si="18"/>
        <v>1.8518518518518379E-2</v>
      </c>
      <c r="H127" s="14">
        <v>176.27298099999999</v>
      </c>
      <c r="I127" s="14">
        <f t="shared" si="19"/>
        <v>-1.7836225993628219E-2</v>
      </c>
      <c r="J127" s="14">
        <v>102.69</v>
      </c>
      <c r="K127" s="14">
        <f t="shared" si="20"/>
        <v>1.6582130316036281E-3</v>
      </c>
      <c r="L127" s="14">
        <v>269.67</v>
      </c>
      <c r="M127" s="14">
        <f t="shared" si="21"/>
        <v>2.225170583775582E-2</v>
      </c>
      <c r="N127" s="14">
        <v>38.869999999999997</v>
      </c>
      <c r="O127" s="14">
        <f t="shared" si="22"/>
        <v>-3.2121513944223135E-2</v>
      </c>
      <c r="P127" s="14">
        <v>39.08</v>
      </c>
      <c r="Q127" s="14">
        <f t="shared" si="23"/>
        <v>-1.6764344050862023E-2</v>
      </c>
      <c r="R127" s="14">
        <v>482.44</v>
      </c>
      <c r="S127" s="14">
        <f t="shared" si="24"/>
        <v>0.10773328434974294</v>
      </c>
      <c r="T127" s="14">
        <v>42.85</v>
      </c>
      <c r="U127" s="14">
        <f t="shared" si="15"/>
        <v>-2.4140286950580681E-2</v>
      </c>
      <c r="V127" s="14">
        <v>66745.609375</v>
      </c>
      <c r="W127">
        <f t="shared" si="25"/>
        <v>4.1796498699581131E-2</v>
      </c>
      <c r="Z127">
        <f t="shared" si="26"/>
        <v>0.11040773710830695</v>
      </c>
      <c r="AA127">
        <f t="shared" si="27"/>
        <v>0.12169116835326586</v>
      </c>
      <c r="AB127">
        <f t="shared" si="28"/>
        <v>-3.9278858111169721E-3</v>
      </c>
      <c r="AC127">
        <f t="shared" si="29"/>
        <v>-7.3555454338419344E-3</v>
      </c>
    </row>
    <row r="128" spans="1:29" x14ac:dyDescent="0.75">
      <c r="A128" s="1">
        <v>42613.041250000002</v>
      </c>
      <c r="B128" s="14">
        <v>53.49</v>
      </c>
      <c r="C128" s="14">
        <f t="shared" si="16"/>
        <v>-4.2941492216854504E-2</v>
      </c>
      <c r="D128" s="14">
        <v>14.97</v>
      </c>
      <c r="E128" s="14">
        <f t="shared" si="17"/>
        <v>8.9519650655021765E-2</v>
      </c>
      <c r="F128" s="14">
        <v>148.16999999999999</v>
      </c>
      <c r="G128" s="14">
        <f t="shared" si="18"/>
        <v>-2.2222222222223476E-3</v>
      </c>
      <c r="H128" s="14">
        <v>178.45166800000001</v>
      </c>
      <c r="I128" s="14">
        <f t="shared" si="19"/>
        <v>1.2359733111905635E-2</v>
      </c>
      <c r="J128" s="14">
        <v>101.21</v>
      </c>
      <c r="K128" s="14">
        <f t="shared" si="20"/>
        <v>-1.4412308890836556E-2</v>
      </c>
      <c r="L128" s="14">
        <v>250.25</v>
      </c>
      <c r="M128" s="14">
        <f t="shared" si="21"/>
        <v>-7.2013942967330546E-2</v>
      </c>
      <c r="N128" s="14">
        <v>40.450000000000003</v>
      </c>
      <c r="O128" s="14">
        <f t="shared" si="22"/>
        <v>4.0648314895806781E-2</v>
      </c>
      <c r="P128" s="14">
        <v>41.561768000000001</v>
      </c>
      <c r="Q128" s="14">
        <f t="shared" si="23"/>
        <v>6.3504810644831267E-2</v>
      </c>
      <c r="R128" s="14">
        <v>435.63</v>
      </c>
      <c r="S128" s="14">
        <f t="shared" si="24"/>
        <v>-9.7027609650941038E-2</v>
      </c>
      <c r="T128" s="14">
        <v>42.92</v>
      </c>
      <c r="U128" s="14">
        <f t="shared" si="15"/>
        <v>1.6336056009333966E-3</v>
      </c>
      <c r="V128" s="14">
        <v>66337.421875</v>
      </c>
      <c r="W128">
        <f t="shared" si="25"/>
        <v>-4.7697002025003821E-2</v>
      </c>
      <c r="Z128">
        <f t="shared" si="26"/>
        <v>5.6636543747587906E-2</v>
      </c>
      <c r="AA128">
        <f t="shared" si="27"/>
        <v>4.1259606986899532E-2</v>
      </c>
      <c r="AB128">
        <f t="shared" si="28"/>
        <v>1.4879177134083967E-2</v>
      </c>
      <c r="AC128">
        <f t="shared" si="29"/>
        <v>4.9775962660440602E-4</v>
      </c>
    </row>
    <row r="129" spans="1:29" x14ac:dyDescent="0.75">
      <c r="A129" s="1">
        <v>42643.041250000002</v>
      </c>
      <c r="B129" s="14">
        <v>51.11</v>
      </c>
      <c r="C129" s="14">
        <f t="shared" si="16"/>
        <v>-4.449429799962612E-2</v>
      </c>
      <c r="D129" s="14">
        <v>14.77</v>
      </c>
      <c r="E129" s="14">
        <f t="shared" si="17"/>
        <v>-1.3360053440213848E-2</v>
      </c>
      <c r="F129" s="14">
        <v>147</v>
      </c>
      <c r="G129" s="14">
        <f t="shared" si="18"/>
        <v>-7.896335290544565E-3</v>
      </c>
      <c r="H129" s="14">
        <v>175.928977</v>
      </c>
      <c r="I129" s="14">
        <f t="shared" si="19"/>
        <v>-1.4136550407587212E-2</v>
      </c>
      <c r="J129" s="14">
        <v>101.68</v>
      </c>
      <c r="K129" s="14">
        <f t="shared" si="20"/>
        <v>4.6438099002075184E-3</v>
      </c>
      <c r="L129" s="14">
        <v>254.94</v>
      </c>
      <c r="M129" s="14">
        <f t="shared" si="21"/>
        <v>1.8741258741258759E-2</v>
      </c>
      <c r="N129" s="14">
        <v>42.16</v>
      </c>
      <c r="O129" s="14">
        <f t="shared" si="22"/>
        <v>4.2274412855376919E-2</v>
      </c>
      <c r="P129" s="14">
        <v>40.419049999999999</v>
      </c>
      <c r="Q129" s="14">
        <f t="shared" si="23"/>
        <v>-2.7494451150393839E-2</v>
      </c>
      <c r="R129" s="14">
        <v>466.08</v>
      </c>
      <c r="S129" s="14">
        <f t="shared" si="24"/>
        <v>6.9898767302527309E-2</v>
      </c>
      <c r="T129" s="14">
        <v>42.58</v>
      </c>
      <c r="U129" s="14">
        <f t="shared" si="15"/>
        <v>-7.9217148182666453E-3</v>
      </c>
      <c r="V129" s="14">
        <v>67403.078125</v>
      </c>
      <c r="W129">
        <f t="shared" si="25"/>
        <v>3.0988526242130332E-2</v>
      </c>
      <c r="Z129">
        <f t="shared" si="26"/>
        <v>-1.5013345040257685E-2</v>
      </c>
      <c r="AA129">
        <f t="shared" si="27"/>
        <v>-6.1576486305945626E-3</v>
      </c>
      <c r="AB129">
        <f t="shared" si="28"/>
        <v>-6.4419499045372764E-3</v>
      </c>
      <c r="AC129">
        <f t="shared" si="29"/>
        <v>-2.413746505125847E-3</v>
      </c>
    </row>
    <row r="130" spans="1:29" x14ac:dyDescent="0.75">
      <c r="A130" s="1">
        <v>42674.041250000002</v>
      </c>
      <c r="B130" s="14">
        <v>50.91</v>
      </c>
      <c r="C130" s="14">
        <f t="shared" si="16"/>
        <v>-3.9131285462727927E-3</v>
      </c>
      <c r="D130" s="14">
        <v>15.73</v>
      </c>
      <c r="E130" s="14">
        <f t="shared" si="17"/>
        <v>6.4996614759647908E-2</v>
      </c>
      <c r="F130" s="14">
        <v>147</v>
      </c>
      <c r="G130" s="14">
        <f t="shared" si="18"/>
        <v>0</v>
      </c>
      <c r="H130" s="14">
        <v>174.57207600000001</v>
      </c>
      <c r="I130" s="14">
        <f t="shared" si="19"/>
        <v>-7.7127771850795668E-3</v>
      </c>
      <c r="J130" s="14">
        <v>111.31</v>
      </c>
      <c r="K130" s="14">
        <f t="shared" si="20"/>
        <v>9.4708890637293486E-2</v>
      </c>
      <c r="L130" s="14">
        <v>262.25</v>
      </c>
      <c r="M130" s="14">
        <f t="shared" si="21"/>
        <v>2.8673413352161337E-2</v>
      </c>
      <c r="N130" s="14">
        <v>45.84</v>
      </c>
      <c r="O130" s="14">
        <f t="shared" si="22"/>
        <v>8.7286527514231604E-2</v>
      </c>
      <c r="P130" s="14">
        <v>37.562254000000003</v>
      </c>
      <c r="Q130" s="14">
        <f t="shared" si="23"/>
        <v>-7.0679444469872399E-2</v>
      </c>
      <c r="R130" s="14">
        <v>458.39</v>
      </c>
      <c r="S130" s="14">
        <f t="shared" si="24"/>
        <v>-1.6499313422588369E-2</v>
      </c>
      <c r="T130" s="14">
        <v>39.99</v>
      </c>
      <c r="U130" s="14">
        <f t="shared" ref="U130:U193" si="30">+T130/T129-1</f>
        <v>-6.0826679192108934E-2</v>
      </c>
      <c r="V130" s="14">
        <v>66649.28125</v>
      </c>
      <c r="W130">
        <f t="shared" si="25"/>
        <v>-3.8662996307348652E-2</v>
      </c>
      <c r="Z130">
        <f t="shared" si="26"/>
        <v>-5.1371432464049765E-3</v>
      </c>
      <c r="AA130">
        <f t="shared" si="27"/>
        <v>2.9956939742721719E-2</v>
      </c>
      <c r="AB130">
        <f t="shared" si="28"/>
        <v>-1.6560193839291103E-2</v>
      </c>
      <c r="AC130">
        <f t="shared" si="29"/>
        <v>-1.8533889149835593E-2</v>
      </c>
    </row>
    <row r="131" spans="1:29" x14ac:dyDescent="0.75">
      <c r="A131" s="1">
        <v>42704.041250000002</v>
      </c>
      <c r="B131" s="14">
        <v>47.35</v>
      </c>
      <c r="C131" s="14">
        <f t="shared" ref="C131:C194" si="31">+B131/B130-1</f>
        <v>-6.9927322726379804E-2</v>
      </c>
      <c r="D131" s="14">
        <v>15.39</v>
      </c>
      <c r="E131" s="14">
        <f t="shared" ref="E131:E194" si="32">+D131/D130-1</f>
        <v>-2.1614748887476165E-2</v>
      </c>
      <c r="F131" s="14">
        <v>148</v>
      </c>
      <c r="G131" s="14">
        <f t="shared" ref="G131:G194" si="33">+F131/F130-1</f>
        <v>6.8027210884353817E-3</v>
      </c>
      <c r="H131" s="14">
        <v>167.424453</v>
      </c>
      <c r="I131" s="14">
        <f t="shared" ref="I131:I194" si="34">+H131/H130-1</f>
        <v>-4.0943678758795343E-2</v>
      </c>
      <c r="J131" s="14">
        <v>98.62</v>
      </c>
      <c r="K131" s="14">
        <f t="shared" ref="K131:K194" si="35">+J131/J130-1</f>
        <v>-0.11400592938639831</v>
      </c>
      <c r="L131" s="14">
        <v>246.01</v>
      </c>
      <c r="M131" s="14">
        <f t="shared" ref="M131:M194" si="36">+L131/L130-1</f>
        <v>-6.1925643469971425E-2</v>
      </c>
      <c r="N131" s="14">
        <v>41.56</v>
      </c>
      <c r="O131" s="14">
        <f t="shared" ref="O131:O194" si="37">+N131/N130-1</f>
        <v>-9.3368237347294936E-2</v>
      </c>
      <c r="P131" s="14">
        <v>33.258629999999997</v>
      </c>
      <c r="Q131" s="14">
        <f t="shared" ref="Q131:Q194" si="38">+P131/P130-1</f>
        <v>-0.11457310309439916</v>
      </c>
      <c r="R131" s="14">
        <v>441.78</v>
      </c>
      <c r="S131" s="14">
        <f t="shared" ref="S131:S194" si="39">+R131/R130-1</f>
        <v>-3.6235519972076191E-2</v>
      </c>
      <c r="T131" s="14">
        <v>37.75</v>
      </c>
      <c r="U131" s="14">
        <f t="shared" si="30"/>
        <v>-5.6014003500875265E-2</v>
      </c>
      <c r="V131" s="14">
        <v>67141.109375</v>
      </c>
      <c r="W131">
        <f t="shared" si="25"/>
        <v>-4.6124761736475728E-2</v>
      </c>
      <c r="Z131">
        <f t="shared" si="26"/>
        <v>-5.3874182683972184E-2</v>
      </c>
      <c r="AA131">
        <f t="shared" si="27"/>
        <v>-9.9622377622377647E-3</v>
      </c>
      <c r="AB131">
        <f t="shared" si="28"/>
        <v>-2.6844478055017724E-2</v>
      </c>
      <c r="AC131">
        <f t="shared" si="29"/>
        <v>-1.7067466866716695E-2</v>
      </c>
    </row>
    <row r="132" spans="1:29" x14ac:dyDescent="0.75">
      <c r="A132" s="1">
        <v>42734.041250000002</v>
      </c>
      <c r="B132" s="14">
        <v>47.01</v>
      </c>
      <c r="C132" s="14">
        <f t="shared" si="31"/>
        <v>-7.1805702217530021E-3</v>
      </c>
      <c r="D132" s="14">
        <v>15.9</v>
      </c>
      <c r="E132" s="14">
        <f t="shared" si="32"/>
        <v>3.3138401559454245E-2</v>
      </c>
      <c r="F132" s="14">
        <v>147</v>
      </c>
      <c r="G132" s="14">
        <f t="shared" si="33"/>
        <v>-6.7567567567567988E-3</v>
      </c>
      <c r="H132" s="14">
        <v>162.90463299999999</v>
      </c>
      <c r="I132" s="14">
        <f t="shared" si="34"/>
        <v>-2.6996176000646743E-2</v>
      </c>
      <c r="J132" s="14">
        <v>102.3</v>
      </c>
      <c r="K132" s="14">
        <f t="shared" si="35"/>
        <v>3.7314946258365289E-2</v>
      </c>
      <c r="L132" s="14">
        <v>263.10000000000002</v>
      </c>
      <c r="M132" s="14">
        <f t="shared" si="36"/>
        <v>6.9468720783708138E-2</v>
      </c>
      <c r="N132" s="14">
        <v>37.659999999999997</v>
      </c>
      <c r="O132" s="14">
        <f t="shared" si="37"/>
        <v>-9.3840230991337981E-2</v>
      </c>
      <c r="P132" s="14">
        <v>34.410564000000001</v>
      </c>
      <c r="Q132" s="14">
        <f t="shared" si="38"/>
        <v>3.4635641937145412E-2</v>
      </c>
      <c r="R132" s="14">
        <v>386.06</v>
      </c>
      <c r="S132" s="14">
        <f t="shared" si="39"/>
        <v>-0.12612612612612606</v>
      </c>
      <c r="T132" s="14">
        <v>37.049999999999997</v>
      </c>
      <c r="U132" s="14">
        <f t="shared" si="30"/>
        <v>-1.8543046357615944E-2</v>
      </c>
      <c r="V132" s="14">
        <v>67467.820313000004</v>
      </c>
      <c r="W132">
        <f t="shared" ref="W132:W195" si="40">S132*$X$2+U132*$Y$2</f>
        <v>-7.2334586241871002E-2</v>
      </c>
      <c r="Z132">
        <f t="shared" ref="Z132:Z195" si="41">SUM(AA132:AC132)</f>
        <v>1.773855395946005E-2</v>
      </c>
      <c r="AA132">
        <f t="shared" ref="AA132:AA195" si="42">$AA$2*E132</f>
        <v>1.527348927875246E-2</v>
      </c>
      <c r="AB132">
        <f t="shared" ref="AB132:AB195" si="43">$AB$2*Q132</f>
        <v>8.1151309058731698E-3</v>
      </c>
      <c r="AC132">
        <f t="shared" ref="AC132:AC195" si="44">$AC$2*U132</f>
        <v>-5.6500662251655785E-3</v>
      </c>
    </row>
    <row r="133" spans="1:29" x14ac:dyDescent="0.75">
      <c r="A133" s="1">
        <v>42766.041250000002</v>
      </c>
      <c r="B133" s="14">
        <v>46.23</v>
      </c>
      <c r="C133" s="14">
        <f t="shared" si="31"/>
        <v>-1.6592214422463281E-2</v>
      </c>
      <c r="D133" s="14">
        <v>18.52</v>
      </c>
      <c r="E133" s="14">
        <f t="shared" si="32"/>
        <v>0.16477987421383644</v>
      </c>
      <c r="F133" s="14">
        <v>147</v>
      </c>
      <c r="G133" s="14">
        <f t="shared" si="33"/>
        <v>0</v>
      </c>
      <c r="H133" s="14">
        <v>154.39055400000001</v>
      </c>
      <c r="I133" s="14">
        <f t="shared" si="34"/>
        <v>-5.22641918968626E-2</v>
      </c>
      <c r="J133" s="14">
        <v>99.95</v>
      </c>
      <c r="K133" s="14">
        <f t="shared" si="35"/>
        <v>-2.2971652003910048E-2</v>
      </c>
      <c r="L133" s="14">
        <v>280.57</v>
      </c>
      <c r="M133" s="14">
        <f t="shared" si="36"/>
        <v>6.6400608133789341E-2</v>
      </c>
      <c r="N133" s="14">
        <v>37.049999999999997</v>
      </c>
      <c r="O133" s="14">
        <f t="shared" si="37"/>
        <v>-1.6197557089750347E-2</v>
      </c>
      <c r="P133" s="14">
        <v>34.521149000000001</v>
      </c>
      <c r="Q133" s="14">
        <f t="shared" si="38"/>
        <v>3.2136933297577386E-3</v>
      </c>
      <c r="R133" s="14">
        <v>493.14</v>
      </c>
      <c r="S133" s="14">
        <f t="shared" si="39"/>
        <v>0.27736621250582805</v>
      </c>
      <c r="T133" s="14">
        <v>36.9</v>
      </c>
      <c r="U133" s="14">
        <f t="shared" si="30"/>
        <v>-4.0485829959513442E-3</v>
      </c>
      <c r="V133" s="14">
        <v>67683.382813000004</v>
      </c>
      <c r="W133">
        <f t="shared" si="40"/>
        <v>0.13665881475493835</v>
      </c>
      <c r="Z133">
        <f t="shared" si="41"/>
        <v>7.546640913345308E-2</v>
      </c>
      <c r="AA133">
        <f t="shared" si="42"/>
        <v>7.5947044025157215E-2</v>
      </c>
      <c r="AB133">
        <f t="shared" si="43"/>
        <v>7.5296834716223821E-4</v>
      </c>
      <c r="AC133">
        <f t="shared" si="44"/>
        <v>-1.2336032388663746E-3</v>
      </c>
    </row>
    <row r="134" spans="1:29" x14ac:dyDescent="0.75">
      <c r="A134" s="1">
        <v>42794.041250000002</v>
      </c>
      <c r="B134" s="14">
        <v>47.42</v>
      </c>
      <c r="C134" s="14">
        <f t="shared" si="31"/>
        <v>2.5740860912827346E-2</v>
      </c>
      <c r="D134" s="14">
        <v>16.36</v>
      </c>
      <c r="E134" s="14">
        <f t="shared" si="32"/>
        <v>-0.11663066954643631</v>
      </c>
      <c r="F134" s="14">
        <v>147</v>
      </c>
      <c r="G134" s="14">
        <f t="shared" si="33"/>
        <v>0</v>
      </c>
      <c r="H134" s="14">
        <v>166.09621899999999</v>
      </c>
      <c r="I134" s="14">
        <f t="shared" si="34"/>
        <v>7.5818530970489073E-2</v>
      </c>
      <c r="J134" s="14">
        <v>99.85</v>
      </c>
      <c r="K134" s="14">
        <f t="shared" si="35"/>
        <v>-1.0005002501251026E-3</v>
      </c>
      <c r="L134" s="14">
        <v>264.92</v>
      </c>
      <c r="M134" s="14">
        <f t="shared" si="36"/>
        <v>-5.5779306411947061E-2</v>
      </c>
      <c r="N134" s="14">
        <v>37.39</v>
      </c>
      <c r="O134" s="14">
        <f t="shared" si="37"/>
        <v>9.1767881241566762E-3</v>
      </c>
      <c r="P134" s="14">
        <v>34.908199000000003</v>
      </c>
      <c r="Q134" s="14">
        <f t="shared" si="38"/>
        <v>1.1211967481151941E-2</v>
      </c>
      <c r="R134" s="14">
        <v>477.32</v>
      </c>
      <c r="S134" s="14">
        <f t="shared" si="39"/>
        <v>-3.208013951413391E-2</v>
      </c>
      <c r="T134" s="14">
        <v>38.950000000000003</v>
      </c>
      <c r="U134" s="14">
        <f t="shared" si="30"/>
        <v>5.555555555555558E-2</v>
      </c>
      <c r="V134" s="14">
        <v>68036.132813000004</v>
      </c>
      <c r="W134">
        <f t="shared" si="40"/>
        <v>1.1737708020710835E-2</v>
      </c>
      <c r="Z134">
        <f t="shared" si="41"/>
        <v>-3.4200333835340796E-2</v>
      </c>
      <c r="AA134">
        <f t="shared" si="42"/>
        <v>-5.3755075593952491E-2</v>
      </c>
      <c r="AB134">
        <f t="shared" si="43"/>
        <v>2.6269639808338997E-3</v>
      </c>
      <c r="AC134">
        <f t="shared" si="44"/>
        <v>1.6927777777777788E-2</v>
      </c>
    </row>
    <row r="135" spans="1:29" x14ac:dyDescent="0.75">
      <c r="A135" s="1">
        <v>42825.041250000002</v>
      </c>
      <c r="B135" s="14">
        <v>46.59</v>
      </c>
      <c r="C135" s="14">
        <f t="shared" si="31"/>
        <v>-1.750316322226908E-2</v>
      </c>
      <c r="D135" s="14">
        <v>16.3</v>
      </c>
      <c r="E135" s="14">
        <f t="shared" si="32"/>
        <v>-3.6674816625915652E-3</v>
      </c>
      <c r="F135" s="14">
        <v>147</v>
      </c>
      <c r="G135" s="14">
        <f t="shared" si="33"/>
        <v>0</v>
      </c>
      <c r="H135" s="14">
        <v>174.02740399999999</v>
      </c>
      <c r="I135" s="14">
        <f t="shared" si="34"/>
        <v>4.7750545122282384E-2</v>
      </c>
      <c r="J135" s="14">
        <v>107.66</v>
      </c>
      <c r="K135" s="14">
        <f t="shared" si="35"/>
        <v>7.8217325988983566E-2</v>
      </c>
      <c r="L135" s="14">
        <v>263.51</v>
      </c>
      <c r="M135" s="14">
        <f t="shared" si="36"/>
        <v>-5.3223614676130016E-3</v>
      </c>
      <c r="N135" s="14">
        <v>38.72</v>
      </c>
      <c r="O135" s="14">
        <f t="shared" si="37"/>
        <v>3.5571008290986805E-2</v>
      </c>
      <c r="P135" s="14">
        <v>37.442453</v>
      </c>
      <c r="Q135" s="14">
        <f t="shared" si="38"/>
        <v>7.2597672541055314E-2</v>
      </c>
      <c r="R135" s="14">
        <v>483.01</v>
      </c>
      <c r="S135" s="14">
        <f t="shared" si="39"/>
        <v>1.192072404257094E-2</v>
      </c>
      <c r="T135" s="14">
        <v>43.16</v>
      </c>
      <c r="U135" s="14">
        <f t="shared" si="30"/>
        <v>0.10808729139922968</v>
      </c>
      <c r="V135" s="14">
        <v>68347.976563000004</v>
      </c>
      <c r="W135">
        <f t="shared" si="40"/>
        <v>6.000400772090031E-2</v>
      </c>
      <c r="Z135">
        <f t="shared" si="41"/>
        <v>4.8253490067426096E-2</v>
      </c>
      <c r="AA135">
        <f t="shared" si="42"/>
        <v>-1.6903422982884524E-3</v>
      </c>
      <c r="AB135">
        <f t="shared" si="43"/>
        <v>1.7009634676369262E-2</v>
      </c>
      <c r="AC135">
        <f t="shared" si="44"/>
        <v>3.2934197689345288E-2</v>
      </c>
    </row>
    <row r="136" spans="1:29" x14ac:dyDescent="0.75">
      <c r="A136" s="1">
        <v>42853.041250000002</v>
      </c>
      <c r="B136" s="14">
        <v>46.08</v>
      </c>
      <c r="C136" s="14">
        <f t="shared" si="31"/>
        <v>-1.0946555054732854E-2</v>
      </c>
      <c r="D136" s="14">
        <v>16.649999999999999</v>
      </c>
      <c r="E136" s="14">
        <f t="shared" si="32"/>
        <v>2.1472392638036686E-2</v>
      </c>
      <c r="F136" s="14">
        <v>147</v>
      </c>
      <c r="G136" s="14">
        <f t="shared" si="33"/>
        <v>0</v>
      </c>
      <c r="H136" s="14">
        <v>184.99728400000001</v>
      </c>
      <c r="I136" s="14">
        <f t="shared" si="34"/>
        <v>6.3035359649449285E-2</v>
      </c>
      <c r="J136" s="14">
        <v>108.95</v>
      </c>
      <c r="K136" s="14">
        <f t="shared" si="35"/>
        <v>1.1982166078394973E-2</v>
      </c>
      <c r="L136" s="14">
        <v>251.38</v>
      </c>
      <c r="M136" s="14">
        <f t="shared" si="36"/>
        <v>-4.6032408637243338E-2</v>
      </c>
      <c r="N136" s="14">
        <v>41.84</v>
      </c>
      <c r="O136" s="14">
        <f t="shared" si="37"/>
        <v>8.0578512396694224E-2</v>
      </c>
      <c r="P136" s="14">
        <v>37.027757000000001</v>
      </c>
      <c r="Q136" s="14">
        <f t="shared" si="38"/>
        <v>-1.1075556401179187E-2</v>
      </c>
      <c r="R136" s="14">
        <v>458.15</v>
      </c>
      <c r="S136" s="14">
        <f t="shared" si="39"/>
        <v>-5.1468913687087281E-2</v>
      </c>
      <c r="T136" s="14">
        <v>42.5</v>
      </c>
      <c r="U136" s="14">
        <f t="shared" si="30"/>
        <v>-1.5291936978683918E-2</v>
      </c>
      <c r="V136" s="14">
        <v>68195.148438000004</v>
      </c>
      <c r="W136">
        <f t="shared" si="40"/>
        <v>-3.3380425332885599E-2</v>
      </c>
      <c r="Z136">
        <f t="shared" si="41"/>
        <v>2.6421697046698335E-3</v>
      </c>
      <c r="AA136">
        <f t="shared" si="42"/>
        <v>9.8966257668711075E-3</v>
      </c>
      <c r="AB136">
        <f t="shared" si="43"/>
        <v>-2.5950028647962835E-3</v>
      </c>
      <c r="AC136">
        <f t="shared" si="44"/>
        <v>-4.65945319740499E-3</v>
      </c>
    </row>
    <row r="137" spans="1:29" x14ac:dyDescent="0.75">
      <c r="A137" s="1">
        <v>42886.041250000002</v>
      </c>
      <c r="B137" s="14">
        <v>43.03</v>
      </c>
      <c r="C137" s="14">
        <f t="shared" si="31"/>
        <v>-6.6189236111111049E-2</v>
      </c>
      <c r="D137" s="14">
        <v>15.42</v>
      </c>
      <c r="E137" s="14">
        <f t="shared" si="32"/>
        <v>-7.3873873873873785E-2</v>
      </c>
      <c r="F137" s="14">
        <v>155</v>
      </c>
      <c r="G137" s="14">
        <f t="shared" si="33"/>
        <v>5.4421768707483054E-2</v>
      </c>
      <c r="H137" s="14">
        <v>181.09847099999999</v>
      </c>
      <c r="I137" s="14">
        <f t="shared" si="34"/>
        <v>-2.1074974268270985E-2</v>
      </c>
      <c r="J137" s="14">
        <v>107.43</v>
      </c>
      <c r="K137" s="14">
        <f t="shared" si="35"/>
        <v>-1.3951353832033053E-2</v>
      </c>
      <c r="L137" s="14">
        <v>243.25</v>
      </c>
      <c r="M137" s="14">
        <f t="shared" si="36"/>
        <v>-3.234147505768159E-2</v>
      </c>
      <c r="N137" s="14">
        <v>39.299999999999997</v>
      </c>
      <c r="O137" s="14">
        <f t="shared" si="37"/>
        <v>-6.0707456978967622E-2</v>
      </c>
      <c r="P137" s="14">
        <v>33.968221</v>
      </c>
      <c r="Q137" s="14">
        <f t="shared" si="38"/>
        <v>-8.2628175398255954E-2</v>
      </c>
      <c r="R137" s="14">
        <v>405.41</v>
      </c>
      <c r="S137" s="14">
        <f t="shared" si="39"/>
        <v>-0.11511513696387632</v>
      </c>
      <c r="T137" s="14">
        <v>42.73</v>
      </c>
      <c r="U137" s="14">
        <f t="shared" si="30"/>
        <v>5.4117647058822271E-3</v>
      </c>
      <c r="V137" s="14">
        <v>68706.03125</v>
      </c>
      <c r="W137">
        <f t="shared" si="40"/>
        <v>-5.4851686128997046E-2</v>
      </c>
      <c r="Z137">
        <f t="shared" si="41"/>
        <v>-5.1759285258397486E-2</v>
      </c>
      <c r="AA137">
        <f t="shared" si="42"/>
        <v>-3.4048468468468429E-2</v>
      </c>
      <c r="AB137">
        <f t="shared" si="43"/>
        <v>-1.9359781495811371E-2</v>
      </c>
      <c r="AC137">
        <f t="shared" si="44"/>
        <v>1.6489647058823148E-3</v>
      </c>
    </row>
    <row r="138" spans="1:29" x14ac:dyDescent="0.75">
      <c r="A138" s="1">
        <v>42916.041250000002</v>
      </c>
      <c r="B138" s="14">
        <v>45.6</v>
      </c>
      <c r="C138" s="14">
        <f t="shared" si="31"/>
        <v>5.9725772716709313E-2</v>
      </c>
      <c r="D138" s="14">
        <v>17.05</v>
      </c>
      <c r="E138" s="14">
        <f t="shared" si="32"/>
        <v>0.10570687418936453</v>
      </c>
      <c r="F138" s="14">
        <v>149.94999999999999</v>
      </c>
      <c r="G138" s="14">
        <f t="shared" si="33"/>
        <v>-3.2580645161290445E-2</v>
      </c>
      <c r="H138" s="14">
        <v>198.51290599999999</v>
      </c>
      <c r="I138" s="14">
        <f t="shared" si="34"/>
        <v>9.6160033289292679E-2</v>
      </c>
      <c r="J138" s="14">
        <v>115.39</v>
      </c>
      <c r="K138" s="14">
        <f t="shared" si="35"/>
        <v>7.4094759378199759E-2</v>
      </c>
      <c r="L138" s="14">
        <v>236.68</v>
      </c>
      <c r="M138" s="14">
        <f t="shared" si="36"/>
        <v>-2.7009249743062624E-2</v>
      </c>
      <c r="N138" s="14">
        <v>39.229999999999997</v>
      </c>
      <c r="O138" s="14">
        <f t="shared" si="37"/>
        <v>-1.7811704834606035E-3</v>
      </c>
      <c r="P138" s="14">
        <v>35.387403999999997</v>
      </c>
      <c r="Q138" s="14">
        <f t="shared" si="38"/>
        <v>4.1779726998361078E-2</v>
      </c>
      <c r="R138" s="14">
        <v>409.53</v>
      </c>
      <c r="S138" s="14">
        <f t="shared" si="39"/>
        <v>1.0162551491083027E-2</v>
      </c>
      <c r="T138" s="14">
        <v>42.13</v>
      </c>
      <c r="U138" s="14">
        <f t="shared" si="30"/>
        <v>-1.4041656915515954E-2</v>
      </c>
      <c r="V138" s="14">
        <v>68877.640625</v>
      </c>
      <c r="W138">
        <f t="shared" si="40"/>
        <v>-1.9395527122164635E-3</v>
      </c>
      <c r="Z138">
        <f t="shared" si="41"/>
        <v>5.4230795487436395E-2</v>
      </c>
      <c r="AA138">
        <f t="shared" si="42"/>
        <v>4.8720298313878106E-2</v>
      </c>
      <c r="AB138">
        <f t="shared" si="43"/>
        <v>9.7889900357160005E-3</v>
      </c>
      <c r="AC138">
        <f t="shared" si="44"/>
        <v>-4.2784928621577116E-3</v>
      </c>
    </row>
    <row r="139" spans="1:29" x14ac:dyDescent="0.75">
      <c r="A139" s="1">
        <v>42947.041250000002</v>
      </c>
      <c r="B139" s="14">
        <v>45.01</v>
      </c>
      <c r="C139" s="14">
        <f t="shared" si="31"/>
        <v>-1.2938596491228194E-2</v>
      </c>
      <c r="D139" s="14">
        <v>17.2</v>
      </c>
      <c r="E139" s="14">
        <f t="shared" si="32"/>
        <v>8.7976539589442737E-3</v>
      </c>
      <c r="F139" s="14">
        <v>140</v>
      </c>
      <c r="G139" s="14">
        <f t="shared" si="33"/>
        <v>-6.6355451817272315E-2</v>
      </c>
      <c r="H139" s="14">
        <v>197.99814599999999</v>
      </c>
      <c r="I139" s="14">
        <f t="shared" si="34"/>
        <v>-2.5930807743048678E-3</v>
      </c>
      <c r="J139" s="14">
        <v>118.02</v>
      </c>
      <c r="K139" s="14">
        <f t="shared" si="35"/>
        <v>2.2792269694080991E-2</v>
      </c>
      <c r="L139" s="14">
        <v>245.89</v>
      </c>
      <c r="M139" s="14">
        <f t="shared" si="36"/>
        <v>3.89133006591178E-2</v>
      </c>
      <c r="N139" s="14">
        <v>40.18</v>
      </c>
      <c r="O139" s="14">
        <f t="shared" si="37"/>
        <v>2.4216161101198175E-2</v>
      </c>
      <c r="P139" s="14">
        <v>33.028243000000003</v>
      </c>
      <c r="Q139" s="14">
        <f t="shared" si="38"/>
        <v>-6.6666687389670964E-2</v>
      </c>
      <c r="R139" s="14">
        <v>437.67</v>
      </c>
      <c r="S139" s="14">
        <f t="shared" si="39"/>
        <v>6.8712914804776259E-2</v>
      </c>
      <c r="T139" s="14">
        <v>41.08</v>
      </c>
      <c r="U139" s="14">
        <f t="shared" si="30"/>
        <v>-2.4922857821030209E-2</v>
      </c>
      <c r="V139" s="14">
        <v>69959.726563000004</v>
      </c>
      <c r="W139">
        <f t="shared" si="40"/>
        <v>2.1895028491873025E-2</v>
      </c>
      <c r="Z139">
        <f t="shared" si="41"/>
        <v>-1.9159160923790396E-2</v>
      </c>
      <c r="AA139">
        <f t="shared" si="42"/>
        <v>4.0548387096774156E-3</v>
      </c>
      <c r="AB139">
        <f t="shared" si="43"/>
        <v>-1.5620004855399907E-2</v>
      </c>
      <c r="AC139">
        <f t="shared" si="44"/>
        <v>-7.593994778067905E-3</v>
      </c>
    </row>
    <row r="140" spans="1:29" x14ac:dyDescent="0.75">
      <c r="A140" s="1">
        <v>42978.041250000002</v>
      </c>
      <c r="B140" s="14">
        <v>43.34</v>
      </c>
      <c r="C140" s="14">
        <f t="shared" si="31"/>
        <v>-3.7102866029771087E-2</v>
      </c>
      <c r="D140" s="14">
        <v>16.71</v>
      </c>
      <c r="E140" s="14">
        <f t="shared" si="32"/>
        <v>-2.8488372093023129E-2</v>
      </c>
      <c r="F140" s="14">
        <v>137</v>
      </c>
      <c r="G140" s="14">
        <f t="shared" si="33"/>
        <v>-2.1428571428571463E-2</v>
      </c>
      <c r="H140" s="14">
        <v>191.53936200000001</v>
      </c>
      <c r="I140" s="14">
        <f t="shared" si="34"/>
        <v>-3.2620426657934409E-2</v>
      </c>
      <c r="J140" s="14">
        <v>121.92</v>
      </c>
      <c r="K140" s="14">
        <f t="shared" si="35"/>
        <v>3.3045246568378372E-2</v>
      </c>
      <c r="L140" s="14">
        <v>262.22000000000003</v>
      </c>
      <c r="M140" s="14">
        <f t="shared" si="36"/>
        <v>6.6411810159014317E-2</v>
      </c>
      <c r="N140" s="14">
        <v>43.78</v>
      </c>
      <c r="O140" s="14">
        <f t="shared" si="37"/>
        <v>8.9596814335490382E-2</v>
      </c>
      <c r="P140" s="14">
        <v>32.346299000000002</v>
      </c>
      <c r="Q140" s="14">
        <f t="shared" si="38"/>
        <v>-2.0647298737628939E-2</v>
      </c>
      <c r="R140" s="14">
        <v>464.53</v>
      </c>
      <c r="S140" s="14">
        <f t="shared" si="39"/>
        <v>6.137043891516436E-2</v>
      </c>
      <c r="T140" s="14">
        <v>43.49</v>
      </c>
      <c r="U140" s="14">
        <f t="shared" si="30"/>
        <v>5.8666017526777026E-2</v>
      </c>
      <c r="V140" s="14">
        <v>69492.429688000004</v>
      </c>
      <c r="W140">
        <f t="shared" si="40"/>
        <v>6.0018228220970693E-2</v>
      </c>
      <c r="Z140">
        <f t="shared" si="41"/>
        <v>-9.2417251491856006E-5</v>
      </c>
      <c r="AA140">
        <f t="shared" si="42"/>
        <v>-1.3130290697674359E-2</v>
      </c>
      <c r="AB140">
        <f t="shared" si="43"/>
        <v>-4.8376620942264604E-3</v>
      </c>
      <c r="AC140">
        <f t="shared" si="44"/>
        <v>1.7875535540408962E-2</v>
      </c>
    </row>
    <row r="141" spans="1:29" x14ac:dyDescent="0.75">
      <c r="A141" s="1">
        <v>43007.041250000002</v>
      </c>
      <c r="B141" s="14">
        <v>43.97</v>
      </c>
      <c r="C141" s="14">
        <f t="shared" si="31"/>
        <v>1.4536225196123631E-2</v>
      </c>
      <c r="D141" s="14">
        <v>16.55</v>
      </c>
      <c r="E141" s="14">
        <f t="shared" si="32"/>
        <v>-9.5751047277079504E-3</v>
      </c>
      <c r="F141" s="14">
        <v>142.5</v>
      </c>
      <c r="G141" s="14">
        <f t="shared" si="33"/>
        <v>4.014598540145986E-2</v>
      </c>
      <c r="H141" s="14">
        <v>181.04019600000001</v>
      </c>
      <c r="I141" s="14">
        <f t="shared" si="34"/>
        <v>-5.4814665196598056E-2</v>
      </c>
      <c r="J141" s="14">
        <v>125.58</v>
      </c>
      <c r="K141" s="14">
        <f t="shared" si="35"/>
        <v>3.0019685039370136E-2</v>
      </c>
      <c r="L141" s="14">
        <v>266.23</v>
      </c>
      <c r="M141" s="14">
        <f t="shared" si="36"/>
        <v>1.5292502478834624E-2</v>
      </c>
      <c r="N141" s="14">
        <v>44.03</v>
      </c>
      <c r="O141" s="14">
        <f t="shared" si="37"/>
        <v>5.7103700319780515E-3</v>
      </c>
      <c r="P141" s="14">
        <v>34.143315000000001</v>
      </c>
      <c r="Q141" s="14">
        <f t="shared" si="38"/>
        <v>5.5555536662787786E-2</v>
      </c>
      <c r="R141" s="14">
        <v>452.31</v>
      </c>
      <c r="S141" s="14">
        <f t="shared" si="39"/>
        <v>-2.6306158913310118E-2</v>
      </c>
      <c r="T141" s="14">
        <v>41.7</v>
      </c>
      <c r="U141" s="14">
        <f t="shared" si="30"/>
        <v>-4.1158887100482877E-2</v>
      </c>
      <c r="V141" s="14">
        <v>67598.953125</v>
      </c>
      <c r="W141">
        <f t="shared" si="40"/>
        <v>-3.3732523006896498E-2</v>
      </c>
      <c r="Z141">
        <f t="shared" si="41"/>
        <v>-3.9376164284265509E-3</v>
      </c>
      <c r="AA141">
        <f t="shared" si="42"/>
        <v>-4.4131657690005942E-3</v>
      </c>
      <c r="AB141">
        <f t="shared" si="43"/>
        <v>1.3016662240091178E-2</v>
      </c>
      <c r="AC141">
        <f t="shared" si="44"/>
        <v>-1.2541112899517134E-2</v>
      </c>
    </row>
    <row r="142" spans="1:29" x14ac:dyDescent="0.75">
      <c r="A142" s="1">
        <v>43039.041250000002</v>
      </c>
      <c r="B142" s="14">
        <v>44.32</v>
      </c>
      <c r="C142" s="14">
        <f t="shared" si="31"/>
        <v>7.9599727086649974E-3</v>
      </c>
      <c r="D142" s="14">
        <v>15.58</v>
      </c>
      <c r="E142" s="14">
        <f t="shared" si="32"/>
        <v>-5.8610271903323352E-2</v>
      </c>
      <c r="F142" s="14">
        <v>146.78</v>
      </c>
      <c r="G142" s="14">
        <f t="shared" si="33"/>
        <v>3.0035087719298303E-2</v>
      </c>
      <c r="H142" s="14">
        <v>176.60160300000001</v>
      </c>
      <c r="I142" s="14">
        <f t="shared" si="34"/>
        <v>-2.4517168551894342E-2</v>
      </c>
      <c r="J142" s="14">
        <v>113.78</v>
      </c>
      <c r="K142" s="14">
        <f t="shared" si="35"/>
        <v>-9.3964007007485195E-2</v>
      </c>
      <c r="L142" s="14">
        <v>251.13</v>
      </c>
      <c r="M142" s="14">
        <f t="shared" si="36"/>
        <v>-5.6717875521166028E-2</v>
      </c>
      <c r="N142" s="14">
        <v>41.02</v>
      </c>
      <c r="O142" s="14">
        <f t="shared" si="37"/>
        <v>-6.8362480127185932E-2</v>
      </c>
      <c r="P142" s="14">
        <v>30.420265000000001</v>
      </c>
      <c r="Q142" s="14">
        <f t="shared" si="38"/>
        <v>-0.10904184318365107</v>
      </c>
      <c r="R142" s="14">
        <v>445.69</v>
      </c>
      <c r="S142" s="14">
        <f t="shared" si="39"/>
        <v>-1.4635979748402694E-2</v>
      </c>
      <c r="T142" s="14">
        <v>42.84</v>
      </c>
      <c r="U142" s="14">
        <f t="shared" si="30"/>
        <v>2.7338129496402797E-2</v>
      </c>
      <c r="V142" s="14">
        <v>69735.0625</v>
      </c>
      <c r="W142">
        <f t="shared" si="40"/>
        <v>6.3510748740000511E-3</v>
      </c>
      <c r="Z142">
        <f t="shared" si="41"/>
        <v>-4.4232050120617247E-2</v>
      </c>
      <c r="AA142">
        <f t="shared" si="42"/>
        <v>-2.7013474320241732E-2</v>
      </c>
      <c r="AB142">
        <f t="shared" si="43"/>
        <v>-2.5548503857929446E-2</v>
      </c>
      <c r="AC142">
        <f t="shared" si="44"/>
        <v>8.3299280575539324E-3</v>
      </c>
    </row>
    <row r="143" spans="1:29" x14ac:dyDescent="0.75">
      <c r="A143" s="1">
        <v>43069.041250000002</v>
      </c>
      <c r="B143" s="14">
        <v>43.45</v>
      </c>
      <c r="C143" s="14">
        <f t="shared" si="31"/>
        <v>-1.9629963898916913E-2</v>
      </c>
      <c r="D143" s="14">
        <v>14.26</v>
      </c>
      <c r="E143" s="14">
        <f t="shared" si="32"/>
        <v>-8.4724005134788172E-2</v>
      </c>
      <c r="F143" s="14">
        <v>146.38999999999999</v>
      </c>
      <c r="G143" s="14">
        <f t="shared" si="33"/>
        <v>-2.657037743561852E-3</v>
      </c>
      <c r="H143" s="14">
        <v>180.156363</v>
      </c>
      <c r="I143" s="14">
        <f t="shared" si="34"/>
        <v>2.0128696113817179E-2</v>
      </c>
      <c r="J143" s="14">
        <v>109.3</v>
      </c>
      <c r="K143" s="14">
        <f t="shared" si="35"/>
        <v>-3.9374230972051394E-2</v>
      </c>
      <c r="L143" s="14">
        <v>231.04</v>
      </c>
      <c r="M143" s="14">
        <f t="shared" si="36"/>
        <v>-7.9998407199458499E-2</v>
      </c>
      <c r="N143" s="14">
        <v>42.25</v>
      </c>
      <c r="O143" s="14">
        <f t="shared" si="37"/>
        <v>2.9985372988785786E-2</v>
      </c>
      <c r="P143" s="14">
        <v>30.705945</v>
      </c>
      <c r="Q143" s="14">
        <f t="shared" si="38"/>
        <v>9.3911081971178589E-3</v>
      </c>
      <c r="R143" s="14">
        <v>390.94</v>
      </c>
      <c r="S143" s="14">
        <f t="shared" si="39"/>
        <v>-0.12284323184276069</v>
      </c>
      <c r="T143" s="14">
        <v>43.92</v>
      </c>
      <c r="U143" s="14">
        <f t="shared" si="30"/>
        <v>2.5210084033613356E-2</v>
      </c>
      <c r="V143" s="14">
        <v>68730.6875</v>
      </c>
      <c r="W143">
        <f t="shared" si="40"/>
        <v>-4.8816573904573668E-2</v>
      </c>
      <c r="Z143">
        <f t="shared" si="41"/>
        <v>-2.9167444710997158E-2</v>
      </c>
      <c r="AA143">
        <f t="shared" si="42"/>
        <v>-3.9049293966623863E-2</v>
      </c>
      <c r="AB143">
        <f t="shared" si="43"/>
        <v>2.2003366505847144E-3</v>
      </c>
      <c r="AC143">
        <f t="shared" si="44"/>
        <v>7.6815126050419902E-3</v>
      </c>
    </row>
    <row r="144" spans="1:29" x14ac:dyDescent="0.75">
      <c r="A144" s="1">
        <v>43098.041250000002</v>
      </c>
      <c r="B144" s="14">
        <v>43.51</v>
      </c>
      <c r="C144" s="14">
        <f t="shared" si="31"/>
        <v>1.3808975834290749E-3</v>
      </c>
      <c r="D144" s="14">
        <v>14.7</v>
      </c>
      <c r="E144" s="14">
        <f t="shared" si="32"/>
        <v>3.0855539971949453E-2</v>
      </c>
      <c r="F144" s="14">
        <v>144.4</v>
      </c>
      <c r="G144" s="14">
        <f t="shared" si="33"/>
        <v>-1.3593824714802749E-2</v>
      </c>
      <c r="H144" s="14">
        <v>196.27904100000001</v>
      </c>
      <c r="I144" s="14">
        <f t="shared" si="34"/>
        <v>8.949269252288361E-2</v>
      </c>
      <c r="J144" s="14">
        <v>107.83</v>
      </c>
      <c r="K144" s="14">
        <f t="shared" si="35"/>
        <v>-1.344922232387924E-2</v>
      </c>
      <c r="L144" s="14">
        <v>249.3</v>
      </c>
      <c r="M144" s="14">
        <f t="shared" si="36"/>
        <v>7.9033933518005695E-2</v>
      </c>
      <c r="N144" s="14">
        <v>45.68</v>
      </c>
      <c r="O144" s="14">
        <f t="shared" si="37"/>
        <v>8.1183431952662755E-2</v>
      </c>
      <c r="P144" s="14">
        <v>31.931602000000002</v>
      </c>
      <c r="Q144" s="14">
        <f t="shared" si="38"/>
        <v>3.9915951129333438E-2</v>
      </c>
      <c r="R144" s="14">
        <v>409.65</v>
      </c>
      <c r="S144" s="14">
        <f t="shared" si="39"/>
        <v>4.7859006497160683E-2</v>
      </c>
      <c r="T144" s="14">
        <v>48.19</v>
      </c>
      <c r="U144" s="14">
        <f t="shared" si="30"/>
        <v>9.7222222222222099E-2</v>
      </c>
      <c r="V144" s="14">
        <v>68858.28125</v>
      </c>
      <c r="W144">
        <f t="shared" si="40"/>
        <v>7.2540614359691391E-2</v>
      </c>
      <c r="Z144">
        <f t="shared" si="41"/>
        <v>5.3197236833785404E-2</v>
      </c>
      <c r="AA144">
        <f t="shared" si="42"/>
        <v>1.4221318373071503E-2</v>
      </c>
      <c r="AB144">
        <f t="shared" si="43"/>
        <v>9.3523073496028248E-3</v>
      </c>
      <c r="AC144">
        <f t="shared" si="44"/>
        <v>2.9623611111111076E-2</v>
      </c>
    </row>
    <row r="145" spans="1:29" x14ac:dyDescent="0.75">
      <c r="A145" s="1">
        <v>43131.041250000002</v>
      </c>
      <c r="B145" s="14">
        <v>45.4</v>
      </c>
      <c r="C145" s="14">
        <f t="shared" si="31"/>
        <v>4.3438290048264827E-2</v>
      </c>
      <c r="D145" s="14">
        <v>15.48</v>
      </c>
      <c r="E145" s="14">
        <f t="shared" si="32"/>
        <v>5.3061224489795888E-2</v>
      </c>
      <c r="F145" s="14">
        <v>155</v>
      </c>
      <c r="G145" s="14">
        <f t="shared" si="33"/>
        <v>7.3407202216066336E-2</v>
      </c>
      <c r="H145" s="14">
        <v>188.994698</v>
      </c>
      <c r="I145" s="14">
        <f t="shared" si="34"/>
        <v>-3.7112179491441522E-2</v>
      </c>
      <c r="J145" s="14">
        <v>119.58</v>
      </c>
      <c r="K145" s="14">
        <f t="shared" si="35"/>
        <v>0.10896781971622005</v>
      </c>
      <c r="L145" s="14">
        <v>222.3</v>
      </c>
      <c r="M145" s="14">
        <f t="shared" si="36"/>
        <v>-0.10830324909747291</v>
      </c>
      <c r="N145" s="14">
        <v>43.68</v>
      </c>
      <c r="O145" s="14">
        <f t="shared" si="37"/>
        <v>-4.3782837127845919E-2</v>
      </c>
      <c r="P145" s="14">
        <v>32.208066000000002</v>
      </c>
      <c r="Q145" s="14">
        <f t="shared" si="38"/>
        <v>8.6580059465855008E-3</v>
      </c>
      <c r="R145" s="14">
        <v>431.35</v>
      </c>
      <c r="S145" s="14">
        <f t="shared" si="39"/>
        <v>5.2972049310387126E-2</v>
      </c>
      <c r="T145" s="14">
        <v>46.64</v>
      </c>
      <c r="U145" s="14">
        <f t="shared" si="30"/>
        <v>-3.2164349450093277E-2</v>
      </c>
      <c r="V145" s="14">
        <v>70809.570313000004</v>
      </c>
      <c r="W145">
        <f t="shared" si="40"/>
        <v>1.0403849930146924E-2</v>
      </c>
      <c r="Z145">
        <f t="shared" si="41"/>
        <v>1.6684011883188486E-2</v>
      </c>
      <c r="AA145">
        <f t="shared" si="42"/>
        <v>2.4455918367346924E-2</v>
      </c>
      <c r="AB145">
        <f t="shared" si="43"/>
        <v>2.0285707932849828E-3</v>
      </c>
      <c r="AC145">
        <f t="shared" si="44"/>
        <v>-9.8004772774434225E-3</v>
      </c>
    </row>
    <row r="146" spans="1:29" x14ac:dyDescent="0.75">
      <c r="A146" s="1">
        <v>43159.041250000002</v>
      </c>
      <c r="B146" s="14">
        <v>44.11</v>
      </c>
      <c r="C146" s="14">
        <f t="shared" si="31"/>
        <v>-2.8414096916299592E-2</v>
      </c>
      <c r="D146" s="14">
        <v>12.45</v>
      </c>
      <c r="E146" s="14">
        <f t="shared" si="32"/>
        <v>-0.19573643410852715</v>
      </c>
      <c r="F146" s="14">
        <v>150.5</v>
      </c>
      <c r="G146" s="14">
        <f t="shared" si="33"/>
        <v>-2.9032258064516148E-2</v>
      </c>
      <c r="H146" s="14">
        <v>176.88326499999999</v>
      </c>
      <c r="I146" s="14">
        <f t="shared" si="34"/>
        <v>-6.408345381202174E-2</v>
      </c>
      <c r="J146" s="14">
        <v>113.16</v>
      </c>
      <c r="K146" s="14">
        <f t="shared" si="35"/>
        <v>-5.368790767686904E-2</v>
      </c>
      <c r="L146" s="14">
        <v>218.2</v>
      </c>
      <c r="M146" s="14">
        <f t="shared" si="36"/>
        <v>-1.8443544759334296E-2</v>
      </c>
      <c r="N146" s="14">
        <v>46.19</v>
      </c>
      <c r="O146" s="14">
        <f t="shared" si="37"/>
        <v>5.7463369963369981E-2</v>
      </c>
      <c r="P146" s="14">
        <v>31.655138000000001</v>
      </c>
      <c r="Q146" s="14">
        <f t="shared" si="38"/>
        <v>-1.7167376644099064E-2</v>
      </c>
      <c r="R146" s="14">
        <v>411.94</v>
      </c>
      <c r="S146" s="14">
        <f t="shared" si="39"/>
        <v>-4.4998261272748419E-2</v>
      </c>
      <c r="T146" s="14">
        <v>44</v>
      </c>
      <c r="U146" s="14">
        <f t="shared" si="30"/>
        <v>-5.6603773584905648E-2</v>
      </c>
      <c r="V146" s="14">
        <v>71509.453125</v>
      </c>
      <c r="W146">
        <f t="shared" si="40"/>
        <v>-5.0801017428827033E-2</v>
      </c>
      <c r="Z146">
        <f t="shared" si="41"/>
        <v>-0.11148440863965332</v>
      </c>
      <c r="AA146">
        <f t="shared" si="42"/>
        <v>-9.0214922480620158E-2</v>
      </c>
      <c r="AB146">
        <f t="shared" si="43"/>
        <v>-4.0223163477124107E-3</v>
      </c>
      <c r="AC146">
        <f t="shared" si="44"/>
        <v>-1.7247169811320753E-2</v>
      </c>
    </row>
    <row r="147" spans="1:29" x14ac:dyDescent="0.75">
      <c r="A147" s="1">
        <v>43187.041250000002</v>
      </c>
      <c r="B147" s="14">
        <v>39.78</v>
      </c>
      <c r="C147" s="14">
        <f t="shared" si="31"/>
        <v>-9.8163681704828809E-2</v>
      </c>
      <c r="D147" s="14">
        <v>12.03</v>
      </c>
      <c r="E147" s="14">
        <f t="shared" si="32"/>
        <v>-3.3734939759036187E-2</v>
      </c>
      <c r="F147" s="14">
        <v>149.49</v>
      </c>
      <c r="G147" s="14">
        <f t="shared" si="33"/>
        <v>-6.7109634551494324E-3</v>
      </c>
      <c r="H147" s="14">
        <v>174.46486300000001</v>
      </c>
      <c r="I147" s="14">
        <f t="shared" si="34"/>
        <v>-1.3672305291289044E-2</v>
      </c>
      <c r="J147" s="14">
        <v>111.13</v>
      </c>
      <c r="K147" s="14">
        <f t="shared" si="35"/>
        <v>-1.793920113114178E-2</v>
      </c>
      <c r="L147" s="14">
        <v>208.57</v>
      </c>
      <c r="M147" s="14">
        <f t="shared" si="36"/>
        <v>-4.4133822181484872E-2</v>
      </c>
      <c r="N147" s="14">
        <v>45.99</v>
      </c>
      <c r="O147" s="14">
        <f t="shared" si="37"/>
        <v>-4.3299415457890289E-3</v>
      </c>
      <c r="P147" s="14">
        <v>31.369458999999999</v>
      </c>
      <c r="Q147" s="14">
        <f t="shared" si="38"/>
        <v>-9.02472767612017E-3</v>
      </c>
      <c r="R147" s="14">
        <v>367.26</v>
      </c>
      <c r="S147" s="14">
        <f t="shared" si="39"/>
        <v>-0.10846239743651986</v>
      </c>
      <c r="T147" s="14">
        <v>46.26</v>
      </c>
      <c r="U147" s="14">
        <f t="shared" si="30"/>
        <v>5.1363636363636278E-2</v>
      </c>
      <c r="V147" s="14">
        <v>71271.5625</v>
      </c>
      <c r="W147">
        <f t="shared" si="40"/>
        <v>-2.8549380536441793E-2</v>
      </c>
      <c r="Z147">
        <f t="shared" si="41"/>
        <v>-2.0124274294547571E-3</v>
      </c>
      <c r="AA147">
        <f t="shared" si="42"/>
        <v>-1.5548433734939778E-2</v>
      </c>
      <c r="AB147">
        <f t="shared" si="43"/>
        <v>-2.1144936945149558E-3</v>
      </c>
      <c r="AC147">
        <f t="shared" si="44"/>
        <v>1.5650499999999977E-2</v>
      </c>
    </row>
    <row r="148" spans="1:29" x14ac:dyDescent="0.75">
      <c r="A148" s="1">
        <v>43220.041250000002</v>
      </c>
      <c r="B148" s="14">
        <v>43.53</v>
      </c>
      <c r="C148" s="14">
        <f t="shared" si="31"/>
        <v>9.4268476621417685E-2</v>
      </c>
      <c r="D148" s="14">
        <v>11.7</v>
      </c>
      <c r="E148" s="14">
        <f t="shared" si="32"/>
        <v>-2.7431421446383997E-2</v>
      </c>
      <c r="F148" s="14">
        <v>147.27000000000001</v>
      </c>
      <c r="G148" s="14">
        <f t="shared" si="33"/>
        <v>-1.485049167168373E-2</v>
      </c>
      <c r="H148" s="14">
        <v>188.946136</v>
      </c>
      <c r="I148" s="14">
        <f t="shared" si="34"/>
        <v>8.3003951345778981E-2</v>
      </c>
      <c r="J148" s="14">
        <v>117.02</v>
      </c>
      <c r="K148" s="14">
        <f t="shared" si="35"/>
        <v>5.3000989831728518E-2</v>
      </c>
      <c r="L148" s="14">
        <v>228.43</v>
      </c>
      <c r="M148" s="14">
        <f t="shared" si="36"/>
        <v>9.5219830272810224E-2</v>
      </c>
      <c r="N148" s="14">
        <v>44.77</v>
      </c>
      <c r="O148" s="14">
        <f t="shared" si="37"/>
        <v>-2.6527505979560773E-2</v>
      </c>
      <c r="P148" s="14">
        <v>31.650948</v>
      </c>
      <c r="Q148" s="14">
        <f t="shared" si="38"/>
        <v>8.9733456990763738E-3</v>
      </c>
      <c r="R148" s="14">
        <v>392.54</v>
      </c>
      <c r="S148" s="14">
        <f t="shared" si="39"/>
        <v>6.8834068507324542E-2</v>
      </c>
      <c r="T148" s="14">
        <v>51.97</v>
      </c>
      <c r="U148" s="14">
        <f t="shared" si="30"/>
        <v>0.12343277129269348</v>
      </c>
      <c r="V148" s="14">
        <v>71601.351563000004</v>
      </c>
      <c r="W148">
        <f t="shared" si="40"/>
        <v>9.6133419900009009E-2</v>
      </c>
      <c r="Z148">
        <f t="shared" si="41"/>
        <v>2.7069278165538918E-2</v>
      </c>
      <c r="AA148">
        <f t="shared" si="42"/>
        <v>-1.2643142144638384E-2</v>
      </c>
      <c r="AB148">
        <f t="shared" si="43"/>
        <v>2.1024548972935946E-3</v>
      </c>
      <c r="AC148">
        <f t="shared" si="44"/>
        <v>3.7609965412883709E-2</v>
      </c>
    </row>
    <row r="149" spans="1:29" x14ac:dyDescent="0.75">
      <c r="A149" s="1">
        <v>43251.041250000002</v>
      </c>
      <c r="B149" s="14">
        <v>38.06</v>
      </c>
      <c r="C149" s="14">
        <f t="shared" si="31"/>
        <v>-0.12566046404778308</v>
      </c>
      <c r="D149" s="14">
        <v>11.86</v>
      </c>
      <c r="E149" s="14">
        <f t="shared" si="32"/>
        <v>1.3675213675213627E-2</v>
      </c>
      <c r="F149" s="14">
        <v>145</v>
      </c>
      <c r="G149" s="14">
        <f t="shared" si="33"/>
        <v>-1.541386568887082E-2</v>
      </c>
      <c r="H149" s="14">
        <v>167.238294</v>
      </c>
      <c r="I149" s="14">
        <f t="shared" si="34"/>
        <v>-0.11488904964957847</v>
      </c>
      <c r="J149" s="14">
        <v>106.2</v>
      </c>
      <c r="K149" s="14">
        <f t="shared" si="35"/>
        <v>-9.2462826867202086E-2</v>
      </c>
      <c r="L149" s="14">
        <v>209.15</v>
      </c>
      <c r="M149" s="14">
        <f t="shared" si="36"/>
        <v>-8.4402223876023252E-2</v>
      </c>
      <c r="N149" s="14">
        <v>39.43</v>
      </c>
      <c r="O149" s="14">
        <f t="shared" si="37"/>
        <v>-0.11927630109448295</v>
      </c>
      <c r="P149" s="14">
        <v>30.951530999999999</v>
      </c>
      <c r="Q149" s="14">
        <f t="shared" si="38"/>
        <v>-2.2097821524966643E-2</v>
      </c>
      <c r="R149" s="14">
        <v>336.88</v>
      </c>
      <c r="S149" s="14">
        <f t="shared" si="39"/>
        <v>-0.14179446680593066</v>
      </c>
      <c r="T149" s="14">
        <v>50.06</v>
      </c>
      <c r="U149" s="14">
        <f t="shared" si="30"/>
        <v>-3.675197229170668E-2</v>
      </c>
      <c r="V149" s="14">
        <v>70888.039063000004</v>
      </c>
      <c r="W149">
        <f t="shared" si="40"/>
        <v>-8.9273219548818672E-2</v>
      </c>
      <c r="Z149">
        <f t="shared" si="41"/>
        <v>-1.0072939557676752E-2</v>
      </c>
      <c r="AA149">
        <f t="shared" si="42"/>
        <v>6.3029059829059599E-3</v>
      </c>
      <c r="AB149">
        <f t="shared" si="43"/>
        <v>-5.1775195832996848E-3</v>
      </c>
      <c r="AC149">
        <f t="shared" si="44"/>
        <v>-1.1198325957283026E-2</v>
      </c>
    </row>
    <row r="150" spans="1:29" x14ac:dyDescent="0.75">
      <c r="A150" s="1">
        <v>43280.041250000002</v>
      </c>
      <c r="B150" s="14">
        <v>38.69</v>
      </c>
      <c r="C150" s="14">
        <f t="shared" si="31"/>
        <v>1.655281135049913E-2</v>
      </c>
      <c r="D150" s="14">
        <v>13.06</v>
      </c>
      <c r="E150" s="14">
        <f t="shared" si="32"/>
        <v>0.10118043844856661</v>
      </c>
      <c r="F150" s="14">
        <v>152</v>
      </c>
      <c r="G150" s="14">
        <f t="shared" si="33"/>
        <v>4.8275862068965614E-2</v>
      </c>
      <c r="H150" s="14">
        <v>180.96651700000001</v>
      </c>
      <c r="I150" s="14">
        <f t="shared" si="34"/>
        <v>8.2087796231645527E-2</v>
      </c>
      <c r="J150" s="14">
        <v>117.07</v>
      </c>
      <c r="K150" s="14">
        <f t="shared" si="35"/>
        <v>0.10235404896421829</v>
      </c>
      <c r="L150" s="14">
        <v>242.9</v>
      </c>
      <c r="M150" s="14">
        <f t="shared" si="36"/>
        <v>0.16136743963662448</v>
      </c>
      <c r="N150" s="14">
        <v>41.86</v>
      </c>
      <c r="O150" s="14">
        <f t="shared" si="37"/>
        <v>6.162820187674356E-2</v>
      </c>
      <c r="P150" s="14">
        <v>31.287251000000001</v>
      </c>
      <c r="Q150" s="14">
        <f t="shared" si="38"/>
        <v>1.0846636310171576E-2</v>
      </c>
      <c r="R150" s="14">
        <v>356.04</v>
      </c>
      <c r="S150" s="14">
        <f t="shared" si="39"/>
        <v>5.6874851579197472E-2</v>
      </c>
      <c r="T150" s="14">
        <v>52.36</v>
      </c>
      <c r="U150" s="14">
        <f t="shared" si="30"/>
        <v>4.5944866160607223E-2</v>
      </c>
      <c r="V150" s="14">
        <v>71478.8125</v>
      </c>
      <c r="W150">
        <f t="shared" si="40"/>
        <v>5.1409858869902347E-2</v>
      </c>
      <c r="Z150">
        <f t="shared" si="41"/>
        <v>6.317483168755457E-2</v>
      </c>
      <c r="AA150">
        <f t="shared" si="42"/>
        <v>4.6634064080944351E-2</v>
      </c>
      <c r="AB150">
        <f t="shared" si="43"/>
        <v>2.5413668874732002E-3</v>
      </c>
      <c r="AC150">
        <f t="shared" si="44"/>
        <v>1.3999400719137021E-2</v>
      </c>
    </row>
    <row r="151" spans="1:29" x14ac:dyDescent="0.75">
      <c r="A151" s="1">
        <v>43312.041250000002</v>
      </c>
      <c r="B151" s="14">
        <v>39.659999999999997</v>
      </c>
      <c r="C151" s="14">
        <f t="shared" si="31"/>
        <v>2.5071077797880648E-2</v>
      </c>
      <c r="D151" s="14">
        <v>13.89</v>
      </c>
      <c r="E151" s="14">
        <f t="shared" si="32"/>
        <v>6.3552833078101001E-2</v>
      </c>
      <c r="F151" s="14">
        <v>156.9</v>
      </c>
      <c r="G151" s="14">
        <f t="shared" si="33"/>
        <v>3.223684210526323E-2</v>
      </c>
      <c r="H151" s="14">
        <v>173.320044</v>
      </c>
      <c r="I151" s="14">
        <f t="shared" si="34"/>
        <v>-4.2253523617299948E-2</v>
      </c>
      <c r="J151" s="14">
        <v>129.96</v>
      </c>
      <c r="K151" s="14">
        <f t="shared" si="35"/>
        <v>0.11010506534552</v>
      </c>
      <c r="L151" s="14">
        <v>241.24</v>
      </c>
      <c r="M151" s="14">
        <f t="shared" si="36"/>
        <v>-6.8340881020996225E-3</v>
      </c>
      <c r="N151" s="14">
        <v>40.49</v>
      </c>
      <c r="O151" s="14">
        <f t="shared" si="37"/>
        <v>-3.2728141423793544E-2</v>
      </c>
      <c r="P151" s="14">
        <v>32.373109999999997</v>
      </c>
      <c r="Q151" s="14">
        <f t="shared" si="38"/>
        <v>3.4706117197704556E-2</v>
      </c>
      <c r="R151" s="14">
        <v>316.01</v>
      </c>
      <c r="S151" s="14">
        <f t="shared" si="39"/>
        <v>-0.11243118750702175</v>
      </c>
      <c r="T151" s="14">
        <v>54.43</v>
      </c>
      <c r="U151" s="14">
        <f t="shared" si="30"/>
        <v>3.9533995416348278E-2</v>
      </c>
      <c r="V151" s="14">
        <v>71353.289063000004</v>
      </c>
      <c r="W151">
        <f t="shared" si="40"/>
        <v>-3.6448596045336734E-2</v>
      </c>
      <c r="Z151">
        <f t="shared" si="41"/>
        <v>4.9469152428480247E-2</v>
      </c>
      <c r="AA151">
        <f t="shared" si="42"/>
        <v>2.9291500765696751E-2</v>
      </c>
      <c r="AB151">
        <f t="shared" si="43"/>
        <v>8.1316432594221773E-3</v>
      </c>
      <c r="AC151">
        <f t="shared" si="44"/>
        <v>1.204600840336132E-2</v>
      </c>
    </row>
    <row r="152" spans="1:29" x14ac:dyDescent="0.75">
      <c r="A152" s="1">
        <v>43343.041250000002</v>
      </c>
      <c r="B152" s="14">
        <v>39.89</v>
      </c>
      <c r="C152" s="14">
        <f t="shared" si="31"/>
        <v>5.7992939989914838E-3</v>
      </c>
      <c r="D152" s="14">
        <v>13.54</v>
      </c>
      <c r="E152" s="14">
        <f t="shared" si="32"/>
        <v>-2.5197984161267173E-2</v>
      </c>
      <c r="F152" s="14">
        <v>148</v>
      </c>
      <c r="G152" s="14">
        <f t="shared" si="33"/>
        <v>-5.6724028043339758E-2</v>
      </c>
      <c r="H152" s="14">
        <v>194.27157600000001</v>
      </c>
      <c r="I152" s="14">
        <f t="shared" si="34"/>
        <v>0.12088349112120023</v>
      </c>
      <c r="J152" s="14">
        <v>130.31</v>
      </c>
      <c r="K152" s="14">
        <f t="shared" si="35"/>
        <v>2.6931363496460747E-3</v>
      </c>
      <c r="L152" s="14">
        <v>242.05</v>
      </c>
      <c r="M152" s="14">
        <f t="shared" si="36"/>
        <v>3.3576521306581952E-3</v>
      </c>
      <c r="N152" s="14">
        <v>41.09</v>
      </c>
      <c r="O152" s="14">
        <f t="shared" si="37"/>
        <v>1.4818473697209233E-2</v>
      </c>
      <c r="P152" s="14">
        <v>31.740749000000001</v>
      </c>
      <c r="Q152" s="14">
        <f t="shared" si="38"/>
        <v>-1.9533526435983273E-2</v>
      </c>
      <c r="R152" s="14">
        <v>323.67</v>
      </c>
      <c r="S152" s="14">
        <f t="shared" si="39"/>
        <v>2.4239739248758108E-2</v>
      </c>
      <c r="T152" s="14">
        <v>52.9</v>
      </c>
      <c r="U152" s="14">
        <f t="shared" si="30"/>
        <v>-2.8109498438361191E-2</v>
      </c>
      <c r="V152" s="14">
        <v>71155.6875</v>
      </c>
      <c r="W152">
        <f t="shared" si="40"/>
        <v>-1.9348795948015418E-3</v>
      </c>
      <c r="Z152">
        <f t="shared" si="41"/>
        <v>-2.4755420318047578E-2</v>
      </c>
      <c r="AA152">
        <f t="shared" si="42"/>
        <v>-1.1613750899928039E-2</v>
      </c>
      <c r="AB152">
        <f t="shared" si="43"/>
        <v>-4.5767052439508807E-3</v>
      </c>
      <c r="AC152">
        <f t="shared" si="44"/>
        <v>-8.5649641741686565E-3</v>
      </c>
    </row>
    <row r="153" spans="1:29" x14ac:dyDescent="0.75">
      <c r="A153" s="1">
        <v>43371.041250000002</v>
      </c>
      <c r="B153" s="14">
        <v>39.909999999999997</v>
      </c>
      <c r="C153" s="14">
        <f t="shared" si="31"/>
        <v>5.013787916769985E-4</v>
      </c>
      <c r="D153" s="14">
        <v>13.14</v>
      </c>
      <c r="E153" s="14">
        <f t="shared" si="32"/>
        <v>-2.9542097488921559E-2</v>
      </c>
      <c r="F153" s="14">
        <v>146.86000000000001</v>
      </c>
      <c r="G153" s="14">
        <f t="shared" si="33"/>
        <v>-7.7027027027025685E-3</v>
      </c>
      <c r="H153" s="14">
        <v>201.32758699999999</v>
      </c>
      <c r="I153" s="14">
        <f t="shared" si="34"/>
        <v>3.6320346729466824E-2</v>
      </c>
      <c r="J153" s="14">
        <v>135.30000000000001</v>
      </c>
      <c r="K153" s="14">
        <f t="shared" si="35"/>
        <v>3.8293300590898749E-2</v>
      </c>
      <c r="L153" s="14">
        <v>239.24</v>
      </c>
      <c r="M153" s="14">
        <f t="shared" si="36"/>
        <v>-1.1609171658748196E-2</v>
      </c>
      <c r="N153" s="14">
        <v>42.33</v>
      </c>
      <c r="O153" s="14">
        <f t="shared" si="37"/>
        <v>3.0177658797760909E-2</v>
      </c>
      <c r="P153" s="14">
        <v>31.429288</v>
      </c>
      <c r="Q153" s="14">
        <f t="shared" si="38"/>
        <v>-9.8126543894726526E-3</v>
      </c>
      <c r="R153" s="14">
        <v>322.37</v>
      </c>
      <c r="S153" s="14">
        <f t="shared" si="39"/>
        <v>-4.0164364939598851E-3</v>
      </c>
      <c r="T153" s="14">
        <v>57.03</v>
      </c>
      <c r="U153" s="14">
        <f t="shared" si="30"/>
        <v>7.8071833648393207E-2</v>
      </c>
      <c r="V153" s="14">
        <v>70885.21875</v>
      </c>
      <c r="W153">
        <f t="shared" si="40"/>
        <v>3.7027698577216661E-2</v>
      </c>
      <c r="Z153">
        <f t="shared" si="41"/>
        <v>7.8734300565680253E-3</v>
      </c>
      <c r="AA153">
        <f t="shared" si="42"/>
        <v>-1.3615952732643946E-2</v>
      </c>
      <c r="AB153">
        <f t="shared" si="43"/>
        <v>-2.2991049234534428E-3</v>
      </c>
      <c r="AC153">
        <f t="shared" si="44"/>
        <v>2.3788487712665413E-2</v>
      </c>
    </row>
    <row r="154" spans="1:29" x14ac:dyDescent="0.75">
      <c r="A154" s="1">
        <v>43404.041250000002</v>
      </c>
      <c r="B154" s="14">
        <v>38.049999999999997</v>
      </c>
      <c r="C154" s="14">
        <f t="shared" si="31"/>
        <v>-4.6604860937108472E-2</v>
      </c>
      <c r="D154" s="14">
        <v>10.14</v>
      </c>
      <c r="E154" s="14">
        <f t="shared" si="32"/>
        <v>-0.22831050228310501</v>
      </c>
      <c r="F154" s="14">
        <v>149</v>
      </c>
      <c r="G154" s="14">
        <f t="shared" si="33"/>
        <v>1.4571700939670418E-2</v>
      </c>
      <c r="H154" s="14">
        <v>165.37834100000001</v>
      </c>
      <c r="I154" s="14">
        <f t="shared" si="34"/>
        <v>-0.17856095399385075</v>
      </c>
      <c r="J154" s="14">
        <v>111.76</v>
      </c>
      <c r="K154" s="14">
        <f t="shared" si="35"/>
        <v>-0.17398373983739845</v>
      </c>
      <c r="L154" s="14">
        <v>212</v>
      </c>
      <c r="M154" s="14">
        <f t="shared" si="36"/>
        <v>-0.11386055843504439</v>
      </c>
      <c r="N154" s="14">
        <v>37.74</v>
      </c>
      <c r="O154" s="14">
        <f t="shared" si="37"/>
        <v>-0.10843373493975894</v>
      </c>
      <c r="P154" s="14">
        <v>27.961407000000001</v>
      </c>
      <c r="Q154" s="14">
        <f t="shared" si="38"/>
        <v>-0.11033915244914227</v>
      </c>
      <c r="R154" s="14">
        <v>286.3</v>
      </c>
      <c r="S154" s="14">
        <f t="shared" si="39"/>
        <v>-0.11189006421193037</v>
      </c>
      <c r="T154" s="14">
        <v>51.88</v>
      </c>
      <c r="U154" s="14">
        <f t="shared" si="30"/>
        <v>-9.0303349114501108E-2</v>
      </c>
      <c r="V154" s="14">
        <v>70845.65625</v>
      </c>
      <c r="W154">
        <f t="shared" si="40"/>
        <v>-0.10109670666321574</v>
      </c>
      <c r="Z154">
        <f t="shared" si="41"/>
        <v>-0.15859620439630562</v>
      </c>
      <c r="AA154">
        <f t="shared" si="42"/>
        <v>-0.1052283105022831</v>
      </c>
      <c r="AB154">
        <f t="shared" si="43"/>
        <v>-2.5852463418834036E-2</v>
      </c>
      <c r="AC154">
        <f t="shared" si="44"/>
        <v>-2.751543047518849E-2</v>
      </c>
    </row>
    <row r="155" spans="1:29" x14ac:dyDescent="0.75">
      <c r="A155" s="1">
        <v>43434.041250000002</v>
      </c>
      <c r="B155" s="14">
        <v>39</v>
      </c>
      <c r="C155" s="14">
        <f t="shared" si="31"/>
        <v>2.4967148488830526E-2</v>
      </c>
      <c r="D155" s="14">
        <v>10.47</v>
      </c>
      <c r="E155" s="14">
        <f t="shared" si="32"/>
        <v>3.2544378698224907E-2</v>
      </c>
      <c r="F155" s="14">
        <v>154</v>
      </c>
      <c r="G155" s="14">
        <f t="shared" si="33"/>
        <v>3.3557046979865834E-2</v>
      </c>
      <c r="H155" s="14">
        <v>138.86663300000001</v>
      </c>
      <c r="I155" s="14">
        <f t="shared" si="34"/>
        <v>-0.16030943253929486</v>
      </c>
      <c r="J155" s="14">
        <v>93.15</v>
      </c>
      <c r="K155" s="14">
        <f t="shared" si="35"/>
        <v>-0.16651753758052967</v>
      </c>
      <c r="L155" s="14">
        <v>222.9</v>
      </c>
      <c r="M155" s="14">
        <f t="shared" si="36"/>
        <v>5.1415094339622769E-2</v>
      </c>
      <c r="N155" s="14">
        <v>41.79</v>
      </c>
      <c r="O155" s="14">
        <f t="shared" si="37"/>
        <v>0.10731319554848961</v>
      </c>
      <c r="P155" s="14">
        <v>28.734929000000001</v>
      </c>
      <c r="Q155" s="14">
        <f t="shared" si="38"/>
        <v>2.7663915481792367E-2</v>
      </c>
      <c r="R155" s="14">
        <v>231.88</v>
      </c>
      <c r="S155" s="14">
        <f t="shared" si="39"/>
        <v>-0.19008033531260915</v>
      </c>
      <c r="T155" s="14">
        <v>50.34</v>
      </c>
      <c r="U155" s="14">
        <f t="shared" si="30"/>
        <v>-2.9683885890516515E-2</v>
      </c>
      <c r="V155" s="14">
        <v>71436.546875</v>
      </c>
      <c r="W155">
        <f t="shared" si="40"/>
        <v>-0.10988211060156283</v>
      </c>
      <c r="Z155">
        <f t="shared" si="41"/>
        <v>1.2436679508555428E-2</v>
      </c>
      <c r="AA155">
        <f t="shared" si="42"/>
        <v>1.499970414201186E-2</v>
      </c>
      <c r="AB155">
        <f t="shared" si="43"/>
        <v>6.4816553973839515E-3</v>
      </c>
      <c r="AC155">
        <f t="shared" si="44"/>
        <v>-9.0446800308403835E-3</v>
      </c>
    </row>
    <row r="156" spans="1:29" x14ac:dyDescent="0.75">
      <c r="A156" s="1">
        <v>43465.041250000002</v>
      </c>
      <c r="B156" s="14">
        <v>39.15</v>
      </c>
      <c r="C156" s="14">
        <f t="shared" si="31"/>
        <v>3.8461538461538325E-3</v>
      </c>
      <c r="D156" s="14">
        <v>9.49</v>
      </c>
      <c r="E156" s="14">
        <f t="shared" si="32"/>
        <v>-9.3600764087870103E-2</v>
      </c>
      <c r="F156" s="14">
        <v>149.01</v>
      </c>
      <c r="G156" s="14">
        <f t="shared" si="33"/>
        <v>-3.2402597402597433E-2</v>
      </c>
      <c r="H156" s="14">
        <v>157.29886400000001</v>
      </c>
      <c r="I156" s="14">
        <f t="shared" si="34"/>
        <v>0.13273333270779308</v>
      </c>
      <c r="J156" s="14">
        <v>95.78</v>
      </c>
      <c r="K156" s="14">
        <f t="shared" si="35"/>
        <v>2.8234031132581716E-2</v>
      </c>
      <c r="L156" s="14">
        <v>222.7</v>
      </c>
      <c r="M156" s="14">
        <f t="shared" si="36"/>
        <v>-8.972633467924096E-4</v>
      </c>
      <c r="N156" s="14">
        <v>41</v>
      </c>
      <c r="O156" s="14">
        <f t="shared" si="37"/>
        <v>-1.8904044029672162E-2</v>
      </c>
      <c r="P156" s="14">
        <v>30.162375000000001</v>
      </c>
      <c r="Q156" s="14">
        <f t="shared" si="38"/>
        <v>4.9676336419693268E-2</v>
      </c>
      <c r="R156" s="14">
        <v>239.94</v>
      </c>
      <c r="S156" s="14">
        <f t="shared" si="39"/>
        <v>3.475935828876997E-2</v>
      </c>
      <c r="T156" s="14">
        <v>49.97</v>
      </c>
      <c r="U156" s="14">
        <f t="shared" si="30"/>
        <v>-7.3500198649186776E-3</v>
      </c>
      <c r="V156" s="14">
        <v>70633.773438000004</v>
      </c>
      <c r="W156">
        <f t="shared" si="40"/>
        <v>1.3704669211925646E-2</v>
      </c>
      <c r="Z156">
        <f t="shared" si="41"/>
        <v>-3.3740977597805921E-2</v>
      </c>
      <c r="AA156">
        <f t="shared" si="42"/>
        <v>-4.3140592168099332E-2</v>
      </c>
      <c r="AB156">
        <f t="shared" si="43"/>
        <v>1.1639165623134133E-2</v>
      </c>
      <c r="AC156">
        <f t="shared" si="44"/>
        <v>-2.2395510528407212E-3</v>
      </c>
    </row>
    <row r="157" spans="1:29" x14ac:dyDescent="0.75">
      <c r="A157" s="1">
        <v>43496.041250000002</v>
      </c>
      <c r="B157" s="14">
        <v>37.81</v>
      </c>
      <c r="C157" s="14">
        <f t="shared" si="31"/>
        <v>-3.4227330779054821E-2</v>
      </c>
      <c r="D157" s="14">
        <v>10.33</v>
      </c>
      <c r="E157" s="14">
        <f t="shared" si="32"/>
        <v>8.85142255005269E-2</v>
      </c>
      <c r="F157" s="14">
        <v>144</v>
      </c>
      <c r="G157" s="14">
        <f t="shared" si="33"/>
        <v>-3.3621904570163008E-2</v>
      </c>
      <c r="H157" s="14">
        <v>168.90142599999999</v>
      </c>
      <c r="I157" s="14">
        <f t="shared" si="34"/>
        <v>7.3761257423956783E-2</v>
      </c>
      <c r="J157" s="14">
        <v>106.16</v>
      </c>
      <c r="K157" s="14">
        <f t="shared" si="35"/>
        <v>0.10837335560659844</v>
      </c>
      <c r="L157" s="14">
        <v>232.97</v>
      </c>
      <c r="M157" s="14">
        <f t="shared" si="36"/>
        <v>4.611585092052084E-2</v>
      </c>
      <c r="N157" s="14">
        <v>41.75</v>
      </c>
      <c r="O157" s="14">
        <f t="shared" si="37"/>
        <v>1.8292682926829285E-2</v>
      </c>
      <c r="P157" s="14">
        <v>30.888128999999999</v>
      </c>
      <c r="Q157" s="14">
        <f t="shared" si="38"/>
        <v>2.4061566769858045E-2</v>
      </c>
      <c r="R157" s="14">
        <v>261.05</v>
      </c>
      <c r="S157" s="14">
        <f t="shared" si="39"/>
        <v>8.7980328415437237E-2</v>
      </c>
      <c r="T157" s="14">
        <v>50.2</v>
      </c>
      <c r="U157" s="14">
        <f t="shared" si="30"/>
        <v>4.6027616569943586E-3</v>
      </c>
      <c r="V157" s="14">
        <v>70934.820313000004</v>
      </c>
      <c r="W157">
        <f t="shared" si="40"/>
        <v>4.6291545036215798E-2</v>
      </c>
      <c r="Z157">
        <f t="shared" si="41"/>
        <v>4.7836293104256772E-2</v>
      </c>
      <c r="AA157">
        <f t="shared" si="42"/>
        <v>4.0796206533192846E-2</v>
      </c>
      <c r="AB157">
        <f t="shared" si="43"/>
        <v>5.6376250941777405E-3</v>
      </c>
      <c r="AC157">
        <f t="shared" si="44"/>
        <v>1.4024614768861812E-3</v>
      </c>
    </row>
    <row r="158" spans="1:29" x14ac:dyDescent="0.75">
      <c r="A158" s="1">
        <v>43524.041250000002</v>
      </c>
      <c r="B158" s="14">
        <v>38.229999999999997</v>
      </c>
      <c r="C158" s="14">
        <f t="shared" si="31"/>
        <v>1.110817244115303E-2</v>
      </c>
      <c r="D158" s="14">
        <v>9.4600000000000009</v>
      </c>
      <c r="E158" s="14">
        <f t="shared" si="32"/>
        <v>-8.4220716360116077E-2</v>
      </c>
      <c r="F158" s="14">
        <v>144</v>
      </c>
      <c r="G158" s="14">
        <f t="shared" si="33"/>
        <v>0</v>
      </c>
      <c r="H158" s="14">
        <v>176.744719</v>
      </c>
      <c r="I158" s="14">
        <f t="shared" si="34"/>
        <v>4.6437103497279031E-2</v>
      </c>
      <c r="J158" s="14">
        <v>104.85</v>
      </c>
      <c r="K158" s="14">
        <f t="shared" si="35"/>
        <v>-1.2339864355689567E-2</v>
      </c>
      <c r="L158" s="14">
        <v>208.84</v>
      </c>
      <c r="M158" s="14">
        <f t="shared" si="36"/>
        <v>-0.10357556766965703</v>
      </c>
      <c r="N158" s="14">
        <v>42.71</v>
      </c>
      <c r="O158" s="14">
        <f t="shared" si="37"/>
        <v>2.299401197604789E-2</v>
      </c>
      <c r="P158" s="14">
        <v>30.143021000000001</v>
      </c>
      <c r="Q158" s="14">
        <f t="shared" si="38"/>
        <v>-2.4122794876957343E-2</v>
      </c>
      <c r="R158" s="14">
        <v>255.4</v>
      </c>
      <c r="S158" s="14">
        <f t="shared" si="39"/>
        <v>-2.1643363340356325E-2</v>
      </c>
      <c r="T158" s="14">
        <v>49.85</v>
      </c>
      <c r="U158" s="14">
        <f t="shared" si="30"/>
        <v>-6.9721115537848544E-3</v>
      </c>
      <c r="V158" s="14">
        <v>71144.351563000004</v>
      </c>
      <c r="W158">
        <f t="shared" si="40"/>
        <v>-1.430773744707059E-2</v>
      </c>
      <c r="Z158">
        <f t="shared" si="41"/>
        <v>-4.6593701400486839E-2</v>
      </c>
      <c r="AA158">
        <f t="shared" si="42"/>
        <v>-3.8817328170377495E-2</v>
      </c>
      <c r="AB158">
        <f t="shared" si="43"/>
        <v>-5.6519708396711053E-3</v>
      </c>
      <c r="AC158">
        <f t="shared" si="44"/>
        <v>-2.1244023904382452E-3</v>
      </c>
    </row>
    <row r="159" spans="1:29" x14ac:dyDescent="0.75">
      <c r="A159" s="1">
        <v>43553.041250000002</v>
      </c>
      <c r="B159" s="14">
        <v>40.58</v>
      </c>
      <c r="C159" s="14">
        <f t="shared" si="31"/>
        <v>6.1470049699189122E-2</v>
      </c>
      <c r="D159" s="14">
        <v>9.07</v>
      </c>
      <c r="E159" s="14">
        <f t="shared" si="32"/>
        <v>-4.1226215644820319E-2</v>
      </c>
      <c r="F159" s="14">
        <v>149</v>
      </c>
      <c r="G159" s="14">
        <f t="shared" si="33"/>
        <v>3.4722222222222321E-2</v>
      </c>
      <c r="H159" s="14">
        <v>169.58</v>
      </c>
      <c r="I159" s="14">
        <f t="shared" si="34"/>
        <v>-4.0537103685683529E-2</v>
      </c>
      <c r="J159" s="14">
        <v>105.54</v>
      </c>
      <c r="K159" s="14">
        <f t="shared" si="35"/>
        <v>6.5808297567955254E-3</v>
      </c>
      <c r="L159" s="14">
        <v>198.2</v>
      </c>
      <c r="M159" s="14">
        <f t="shared" si="36"/>
        <v>-5.094809423482094E-2</v>
      </c>
      <c r="N159" s="14">
        <v>43.3</v>
      </c>
      <c r="O159" s="14">
        <f t="shared" si="37"/>
        <v>1.3814095059704989E-2</v>
      </c>
      <c r="P159" s="14">
        <v>31.88</v>
      </c>
      <c r="Q159" s="14">
        <f t="shared" si="38"/>
        <v>5.7624582486274223E-2</v>
      </c>
      <c r="R159" s="14">
        <v>242.58</v>
      </c>
      <c r="S159" s="14">
        <f t="shared" si="39"/>
        <v>-5.0195771339075934E-2</v>
      </c>
      <c r="T159" s="14">
        <v>51.92</v>
      </c>
      <c r="U159" s="14">
        <f t="shared" si="30"/>
        <v>4.1524573721163582E-2</v>
      </c>
      <c r="V159" s="14">
        <v>71390.101563000004</v>
      </c>
      <c r="W159">
        <f t="shared" si="40"/>
        <v>-4.3355988089561759E-3</v>
      </c>
      <c r="Z159">
        <f t="shared" si="41"/>
        <v>7.1528144986749125E-3</v>
      </c>
      <c r="AA159">
        <f t="shared" si="42"/>
        <v>-1.9001162790697683E-2</v>
      </c>
      <c r="AB159">
        <f t="shared" si="43"/>
        <v>1.3501439676534051E-2</v>
      </c>
      <c r="AC159">
        <f t="shared" si="44"/>
        <v>1.2652537612838544E-2</v>
      </c>
    </row>
    <row r="160" spans="1:29" x14ac:dyDescent="0.75">
      <c r="A160" s="1">
        <v>43585.041250000002</v>
      </c>
      <c r="B160" s="14">
        <v>42.22</v>
      </c>
      <c r="C160" s="14">
        <f t="shared" si="31"/>
        <v>4.0413997042878291E-2</v>
      </c>
      <c r="D160" s="14">
        <v>8.77</v>
      </c>
      <c r="E160" s="14">
        <f t="shared" si="32"/>
        <v>-3.3076074972436698E-2</v>
      </c>
      <c r="F160" s="14">
        <v>147</v>
      </c>
      <c r="G160" s="14">
        <f t="shared" si="33"/>
        <v>-1.3422818791946289E-2</v>
      </c>
      <c r="H160" s="14">
        <v>189.69550100000001</v>
      </c>
      <c r="I160" s="14">
        <f t="shared" si="34"/>
        <v>0.11861953650194601</v>
      </c>
      <c r="J160" s="14">
        <v>119.83</v>
      </c>
      <c r="K160" s="14">
        <f t="shared" si="35"/>
        <v>0.13539890089065754</v>
      </c>
      <c r="L160" s="14">
        <v>189.49</v>
      </c>
      <c r="M160" s="14">
        <f t="shared" si="36"/>
        <v>-4.394550958627641E-2</v>
      </c>
      <c r="N160" s="14">
        <v>40.630000000000003</v>
      </c>
      <c r="O160" s="14">
        <f t="shared" si="37"/>
        <v>-6.1662817551962901E-2</v>
      </c>
      <c r="P160" s="14">
        <v>32.086514000000001</v>
      </c>
      <c r="Q160" s="14">
        <f t="shared" si="38"/>
        <v>6.4778544542032357E-3</v>
      </c>
      <c r="R160" s="14">
        <v>217.57</v>
      </c>
      <c r="S160" s="14">
        <f t="shared" si="39"/>
        <v>-0.10310000824470289</v>
      </c>
      <c r="T160" s="14">
        <v>55.71</v>
      </c>
      <c r="U160" s="14">
        <f t="shared" si="30"/>
        <v>7.2996918335901384E-2</v>
      </c>
      <c r="V160" s="14">
        <v>71405.773438000004</v>
      </c>
      <c r="W160">
        <f t="shared" si="40"/>
        <v>-1.5051544954400753E-2</v>
      </c>
      <c r="Z160">
        <f t="shared" si="41"/>
        <v>8.515159360772899E-3</v>
      </c>
      <c r="AA160">
        <f t="shared" si="42"/>
        <v>-1.5244762954796072E-2</v>
      </c>
      <c r="AB160">
        <f t="shared" si="43"/>
        <v>1.5177612986198182E-3</v>
      </c>
      <c r="AC160">
        <f t="shared" si="44"/>
        <v>2.2242161016949154E-2</v>
      </c>
    </row>
    <row r="161" spans="1:29" x14ac:dyDescent="0.75">
      <c r="A161" s="1">
        <v>43616.041250000002</v>
      </c>
      <c r="B161" s="14">
        <v>39.549999999999997</v>
      </c>
      <c r="C161" s="14">
        <f t="shared" si="31"/>
        <v>-6.3240170535291407E-2</v>
      </c>
      <c r="D161" s="14">
        <v>7.99</v>
      </c>
      <c r="E161" s="14">
        <f t="shared" si="32"/>
        <v>-8.8939566704674955E-2</v>
      </c>
      <c r="F161" s="14">
        <v>147</v>
      </c>
      <c r="G161" s="14">
        <f t="shared" si="33"/>
        <v>0</v>
      </c>
      <c r="H161" s="14">
        <v>191.79</v>
      </c>
      <c r="I161" s="14">
        <f t="shared" si="34"/>
        <v>1.1041374144134197E-2</v>
      </c>
      <c r="J161" s="14">
        <v>106.59</v>
      </c>
      <c r="K161" s="14">
        <f t="shared" si="35"/>
        <v>-0.11048986063590083</v>
      </c>
      <c r="L161" s="14">
        <v>186.91</v>
      </c>
      <c r="M161" s="14">
        <f t="shared" si="36"/>
        <v>-1.3615494221331015E-2</v>
      </c>
      <c r="N161" s="14">
        <v>40.15</v>
      </c>
      <c r="O161" s="14">
        <f t="shared" si="37"/>
        <v>-1.1813930593157829E-2</v>
      </c>
      <c r="P161" s="14">
        <v>34.612703000000003</v>
      </c>
      <c r="Q161" s="14">
        <f t="shared" si="38"/>
        <v>7.8730553278551829E-2</v>
      </c>
      <c r="R161" s="14">
        <v>219.31</v>
      </c>
      <c r="S161" s="14">
        <f t="shared" si="39"/>
        <v>7.9974261157329529E-3</v>
      </c>
      <c r="T161" s="14">
        <v>55.31</v>
      </c>
      <c r="U161" s="14">
        <f t="shared" si="30"/>
        <v>-7.1800394902171716E-3</v>
      </c>
      <c r="V161" s="14">
        <v>70584.75</v>
      </c>
      <c r="W161">
        <f t="shared" si="40"/>
        <v>4.0869331275789067E-4</v>
      </c>
      <c r="Z161">
        <f t="shared" si="41"/>
        <v>-2.4733435693689163E-2</v>
      </c>
      <c r="AA161">
        <f t="shared" si="42"/>
        <v>-4.0992246294184687E-2</v>
      </c>
      <c r="AB161">
        <f t="shared" si="43"/>
        <v>1.8446568633164694E-2</v>
      </c>
      <c r="AC161">
        <f t="shared" si="44"/>
        <v>-2.1877580326691722E-3</v>
      </c>
    </row>
    <row r="162" spans="1:29" x14ac:dyDescent="0.75">
      <c r="A162" s="1">
        <v>43644.041250000002</v>
      </c>
      <c r="B162" s="14">
        <v>40.03</v>
      </c>
      <c r="C162" s="14">
        <f t="shared" si="31"/>
        <v>1.2136536030341372E-2</v>
      </c>
      <c r="D162" s="14">
        <v>8.09</v>
      </c>
      <c r="E162" s="14">
        <f t="shared" si="32"/>
        <v>1.2515644555694649E-2</v>
      </c>
      <c r="F162" s="14">
        <v>142</v>
      </c>
      <c r="G162" s="14">
        <f t="shared" si="33"/>
        <v>-3.4013605442176909E-2</v>
      </c>
      <c r="H162" s="14">
        <v>199.88</v>
      </c>
      <c r="I162" s="14">
        <f t="shared" si="34"/>
        <v>4.2181552739976036E-2</v>
      </c>
      <c r="J162" s="14">
        <v>111.36</v>
      </c>
      <c r="K162" s="14">
        <f t="shared" si="35"/>
        <v>4.475091471995496E-2</v>
      </c>
      <c r="L162" s="14">
        <v>180.14</v>
      </c>
      <c r="M162" s="14">
        <f t="shared" si="36"/>
        <v>-3.6220640950189953E-2</v>
      </c>
      <c r="N162" s="14">
        <v>41.13</v>
      </c>
      <c r="O162" s="14">
        <f t="shared" si="37"/>
        <v>2.4408468244084824E-2</v>
      </c>
      <c r="P162" s="14">
        <v>34.945611</v>
      </c>
      <c r="Q162" s="14">
        <f t="shared" si="38"/>
        <v>9.6180873247604382E-3</v>
      </c>
      <c r="R162" s="14">
        <v>248.3</v>
      </c>
      <c r="S162" s="14">
        <f t="shared" si="39"/>
        <v>0.13218731475992884</v>
      </c>
      <c r="T162" s="14">
        <v>52.4</v>
      </c>
      <c r="U162" s="14">
        <f t="shared" si="30"/>
        <v>-5.2612547459772285E-2</v>
      </c>
      <c r="V162" s="14">
        <v>68436.257813000004</v>
      </c>
      <c r="W162">
        <f t="shared" si="40"/>
        <v>3.9787383650078278E-2</v>
      </c>
      <c r="Z162">
        <f t="shared" si="41"/>
        <v>-8.0090647750815838E-3</v>
      </c>
      <c r="AA162">
        <f t="shared" si="42"/>
        <v>5.7684605757196633E-3</v>
      </c>
      <c r="AB162">
        <f t="shared" si="43"/>
        <v>2.2535178601913708E-3</v>
      </c>
      <c r="AC162">
        <f t="shared" si="44"/>
        <v>-1.6031043210992618E-2</v>
      </c>
    </row>
    <row r="163" spans="1:29" x14ac:dyDescent="0.75">
      <c r="A163" s="1">
        <v>43677.041250000002</v>
      </c>
      <c r="B163" s="14">
        <v>36.5</v>
      </c>
      <c r="C163" s="14">
        <f t="shared" si="31"/>
        <v>-8.8183862103422439E-2</v>
      </c>
      <c r="D163" s="14">
        <v>6.81</v>
      </c>
      <c r="E163" s="14">
        <f t="shared" si="32"/>
        <v>-0.1582200247218789</v>
      </c>
      <c r="F163" s="14">
        <v>144</v>
      </c>
      <c r="G163" s="14">
        <f t="shared" si="33"/>
        <v>1.4084507042253502E-2</v>
      </c>
      <c r="H163" s="14">
        <v>192.31</v>
      </c>
      <c r="I163" s="14">
        <f t="shared" si="34"/>
        <v>-3.7872723634180483E-2</v>
      </c>
      <c r="J163" s="14">
        <v>96.48</v>
      </c>
      <c r="K163" s="14">
        <f t="shared" si="35"/>
        <v>-0.13362068965517238</v>
      </c>
      <c r="L163" s="14">
        <v>175.63</v>
      </c>
      <c r="M163" s="14">
        <f t="shared" si="36"/>
        <v>-2.5036083046519275E-2</v>
      </c>
      <c r="N163" s="14">
        <v>40.11</v>
      </c>
      <c r="O163" s="14">
        <f t="shared" si="37"/>
        <v>-2.4799416484318049E-2</v>
      </c>
      <c r="P163" s="14">
        <v>39.428069999999998</v>
      </c>
      <c r="Q163" s="14">
        <f t="shared" si="38"/>
        <v>0.12826958441218839</v>
      </c>
      <c r="R163" s="14">
        <v>177.39</v>
      </c>
      <c r="S163" s="14">
        <f t="shared" si="39"/>
        <v>-0.28558195730970604</v>
      </c>
      <c r="T163" s="14">
        <v>56.54</v>
      </c>
      <c r="U163" s="14">
        <f t="shared" si="30"/>
        <v>7.9007633587786286E-2</v>
      </c>
      <c r="V163" s="14">
        <v>70428.03125</v>
      </c>
      <c r="W163">
        <f t="shared" si="40"/>
        <v>-0.10328716186095988</v>
      </c>
      <c r="Z163">
        <f t="shared" si="41"/>
        <v>-1.8796419812339763E-2</v>
      </c>
      <c r="AA163">
        <f t="shared" si="42"/>
        <v>-7.2923609394313985E-2</v>
      </c>
      <c r="AB163">
        <f t="shared" si="43"/>
        <v>3.005356362777574E-2</v>
      </c>
      <c r="AC163">
        <f t="shared" si="44"/>
        <v>2.4073625954198482E-2</v>
      </c>
    </row>
    <row r="164" spans="1:29" x14ac:dyDescent="0.75">
      <c r="A164" s="1">
        <v>43707.041250000002</v>
      </c>
      <c r="B164" s="14">
        <v>35.07</v>
      </c>
      <c r="C164" s="14">
        <f t="shared" si="31"/>
        <v>-3.9178082191780761E-2</v>
      </c>
      <c r="D164" s="14">
        <v>7.47</v>
      </c>
      <c r="E164" s="14">
        <f t="shared" si="32"/>
        <v>9.6916299559471453E-2</v>
      </c>
      <c r="F164" s="14">
        <v>144.9</v>
      </c>
      <c r="G164" s="14">
        <f t="shared" si="33"/>
        <v>6.2500000000000888E-3</v>
      </c>
      <c r="H164" s="14">
        <v>191.2</v>
      </c>
      <c r="I164" s="14">
        <f t="shared" si="34"/>
        <v>-5.7719307368312434E-3</v>
      </c>
      <c r="J164" s="14">
        <v>107.82</v>
      </c>
      <c r="K164" s="14">
        <f t="shared" si="35"/>
        <v>0.11753731343283569</v>
      </c>
      <c r="L164" s="14">
        <v>186.66</v>
      </c>
      <c r="M164" s="14">
        <f t="shared" si="36"/>
        <v>6.2802482491601586E-2</v>
      </c>
      <c r="N164" s="14">
        <v>41.78</v>
      </c>
      <c r="O164" s="14">
        <f t="shared" si="37"/>
        <v>4.1635502368486677E-2</v>
      </c>
      <c r="P164" s="14">
        <v>40.566465000000001</v>
      </c>
      <c r="Q164" s="14">
        <f t="shared" si="38"/>
        <v>2.8872704141998495E-2</v>
      </c>
      <c r="R164" s="14">
        <v>240.62</v>
      </c>
      <c r="S164" s="14">
        <f t="shared" si="39"/>
        <v>0.35644624837927741</v>
      </c>
      <c r="T164" s="14">
        <v>56.73</v>
      </c>
      <c r="U164" s="14">
        <f t="shared" si="30"/>
        <v>3.3604527767951975E-3</v>
      </c>
      <c r="V164" s="14">
        <v>68379.421875</v>
      </c>
      <c r="W164">
        <f t="shared" si="40"/>
        <v>0.1799033505780363</v>
      </c>
      <c r="Z164">
        <f t="shared" si="41"/>
        <v>5.2457527008520133E-2</v>
      </c>
      <c r="AA164">
        <f t="shared" si="42"/>
        <v>4.4668722466960388E-2</v>
      </c>
      <c r="AB164">
        <f t="shared" si="43"/>
        <v>6.764874580470248E-3</v>
      </c>
      <c r="AC164">
        <f t="shared" si="44"/>
        <v>1.0239299610894969E-3</v>
      </c>
    </row>
    <row r="165" spans="1:29" x14ac:dyDescent="0.75">
      <c r="A165" s="1">
        <v>43738.041250000002</v>
      </c>
      <c r="B165" s="14">
        <v>35.99</v>
      </c>
      <c r="C165" s="14">
        <f t="shared" si="31"/>
        <v>2.623324779013414E-2</v>
      </c>
      <c r="D165" s="14">
        <v>7.69</v>
      </c>
      <c r="E165" s="14">
        <f t="shared" si="32"/>
        <v>2.9451137884872969E-2</v>
      </c>
      <c r="F165" s="14">
        <v>145.49</v>
      </c>
      <c r="G165" s="14">
        <f t="shared" si="33"/>
        <v>4.0717736369910718E-3</v>
      </c>
      <c r="H165" s="14">
        <v>189.9</v>
      </c>
      <c r="I165" s="14">
        <f t="shared" si="34"/>
        <v>-6.7991631799162455E-3</v>
      </c>
      <c r="J165" s="14">
        <v>106.07</v>
      </c>
      <c r="K165" s="14">
        <f t="shared" si="35"/>
        <v>-1.6230754961973681E-2</v>
      </c>
      <c r="L165" s="14">
        <v>201.94</v>
      </c>
      <c r="M165" s="14">
        <f t="shared" si="36"/>
        <v>8.1860066430943901E-2</v>
      </c>
      <c r="N165" s="14">
        <v>41.82</v>
      </c>
      <c r="O165" s="14">
        <f t="shared" si="37"/>
        <v>9.5739588319765367E-4</v>
      </c>
      <c r="P165" s="14">
        <v>39.230088000000002</v>
      </c>
      <c r="Q165" s="14">
        <f t="shared" si="38"/>
        <v>-3.2942900003734565E-2</v>
      </c>
      <c r="R165" s="14">
        <v>262.67</v>
      </c>
      <c r="S165" s="14">
        <f t="shared" si="39"/>
        <v>9.1638267808162199E-2</v>
      </c>
      <c r="T165" s="14">
        <v>58.48</v>
      </c>
      <c r="U165" s="14">
        <f t="shared" si="30"/>
        <v>3.08478759034021E-2</v>
      </c>
      <c r="V165" s="14">
        <v>67313.5</v>
      </c>
      <c r="W165">
        <f t="shared" si="40"/>
        <v>6.124307185578215E-2</v>
      </c>
      <c r="Z165">
        <f t="shared" si="41"/>
        <v>1.5254855768029561E-2</v>
      </c>
      <c r="AA165">
        <f t="shared" si="42"/>
        <v>1.3574029451137951E-2</v>
      </c>
      <c r="AB165">
        <f t="shared" si="43"/>
        <v>-7.718521470875009E-3</v>
      </c>
      <c r="AC165">
        <f t="shared" si="44"/>
        <v>9.3993477877666199E-3</v>
      </c>
    </row>
    <row r="166" spans="1:29" x14ac:dyDescent="0.75">
      <c r="A166" s="1">
        <v>43769.041250000002</v>
      </c>
      <c r="B166" s="14">
        <v>35.74</v>
      </c>
      <c r="C166" s="14">
        <f t="shared" si="31"/>
        <v>-6.9463739927757562E-3</v>
      </c>
      <c r="D166" s="14">
        <v>7.23</v>
      </c>
      <c r="E166" s="14">
        <f t="shared" si="32"/>
        <v>-5.9817945383615068E-2</v>
      </c>
      <c r="F166" s="14">
        <v>140</v>
      </c>
      <c r="G166" s="14">
        <f t="shared" si="33"/>
        <v>-3.7734552202900562E-2</v>
      </c>
      <c r="H166" s="14">
        <v>201.68</v>
      </c>
      <c r="I166" s="14">
        <f t="shared" si="34"/>
        <v>6.2032648762506692E-2</v>
      </c>
      <c r="J166" s="14">
        <v>105</v>
      </c>
      <c r="K166" s="14">
        <f t="shared" si="35"/>
        <v>-1.0087677948524498E-2</v>
      </c>
      <c r="L166" s="14">
        <v>201.85</v>
      </c>
      <c r="M166" s="14">
        <f t="shared" si="36"/>
        <v>-4.4567693374275574E-4</v>
      </c>
      <c r="N166" s="14">
        <v>39.21</v>
      </c>
      <c r="O166" s="14">
        <f t="shared" si="37"/>
        <v>-6.2410329985652768E-2</v>
      </c>
      <c r="P166" s="14">
        <v>38.398564</v>
      </c>
      <c r="Q166" s="14">
        <f t="shared" si="38"/>
        <v>-2.1196077867579599E-2</v>
      </c>
      <c r="R166" s="14">
        <v>230.84</v>
      </c>
      <c r="S166" s="14">
        <f t="shared" si="39"/>
        <v>-0.12117866524536491</v>
      </c>
      <c r="T166" s="14">
        <v>57.73</v>
      </c>
      <c r="U166" s="14">
        <f t="shared" si="30"/>
        <v>-1.2824897400820823E-2</v>
      </c>
      <c r="V166" s="14">
        <v>66890.273438000004</v>
      </c>
      <c r="W166">
        <f t="shared" si="40"/>
        <v>-6.7001781323092868E-2</v>
      </c>
      <c r="Z166">
        <f t="shared" si="41"/>
        <v>-3.6444078309712191E-2</v>
      </c>
      <c r="AA166">
        <f t="shared" si="42"/>
        <v>-2.7570091027308185E-2</v>
      </c>
      <c r="AB166">
        <f t="shared" si="43"/>
        <v>-4.9662410443739001E-3</v>
      </c>
      <c r="AC166">
        <f t="shared" si="44"/>
        <v>-3.9077462380301053E-3</v>
      </c>
    </row>
    <row r="167" spans="1:29" x14ac:dyDescent="0.75">
      <c r="A167" s="1">
        <v>43798.041250000002</v>
      </c>
      <c r="B167" s="14">
        <v>33.799999999999997</v>
      </c>
      <c r="C167" s="14">
        <f t="shared" si="31"/>
        <v>-5.4280917739227941E-2</v>
      </c>
      <c r="D167" s="14">
        <v>7.15</v>
      </c>
      <c r="E167" s="14">
        <f t="shared" si="32"/>
        <v>-1.1065006915629283E-2</v>
      </c>
      <c r="F167" s="14">
        <v>139.9</v>
      </c>
      <c r="G167" s="14">
        <f t="shared" si="33"/>
        <v>-7.1428571428566734E-4</v>
      </c>
      <c r="H167" s="14">
        <v>198.79</v>
      </c>
      <c r="I167" s="14">
        <f t="shared" si="34"/>
        <v>-1.432963109877039E-2</v>
      </c>
      <c r="J167" s="14">
        <v>102.94</v>
      </c>
      <c r="K167" s="14">
        <f t="shared" si="35"/>
        <v>-1.9619047619047647E-2</v>
      </c>
      <c r="L167" s="14">
        <v>197</v>
      </c>
      <c r="M167" s="14">
        <f t="shared" si="36"/>
        <v>-2.4027743373792432E-2</v>
      </c>
      <c r="N167" s="14">
        <v>38.200000000000003</v>
      </c>
      <c r="O167" s="14">
        <f t="shared" si="37"/>
        <v>-2.5758735016577328E-2</v>
      </c>
      <c r="P167" s="14">
        <v>37.072087000000003</v>
      </c>
      <c r="Q167" s="14">
        <f t="shared" si="38"/>
        <v>-3.4544963712705434E-2</v>
      </c>
      <c r="R167" s="14">
        <v>207.3</v>
      </c>
      <c r="S167" s="14">
        <f t="shared" si="39"/>
        <v>-0.10197539421244151</v>
      </c>
      <c r="T167" s="14">
        <v>54.48</v>
      </c>
      <c r="U167" s="14">
        <f t="shared" si="30"/>
        <v>-5.629655291875979E-2</v>
      </c>
      <c r="V167" s="14">
        <v>67397.9375</v>
      </c>
      <c r="W167">
        <f t="shared" si="40"/>
        <v>-7.9135973565600648E-2</v>
      </c>
      <c r="Z167">
        <f t="shared" si="41"/>
        <v>-3.0347306359646529E-2</v>
      </c>
      <c r="AA167">
        <f t="shared" si="42"/>
        <v>-5.0998616874135365E-3</v>
      </c>
      <c r="AB167">
        <f t="shared" si="43"/>
        <v>-8.0938849978868833E-3</v>
      </c>
      <c r="AC167">
        <f t="shared" si="44"/>
        <v>-1.7153559674346109E-2</v>
      </c>
    </row>
    <row r="168" spans="1:29" x14ac:dyDescent="0.75">
      <c r="A168" s="1">
        <v>43830.041250000002</v>
      </c>
      <c r="B168" s="14">
        <v>34.43</v>
      </c>
      <c r="C168" s="14">
        <f t="shared" si="31"/>
        <v>1.8639053254438043E-2</v>
      </c>
      <c r="D168" s="14">
        <v>7.08</v>
      </c>
      <c r="E168" s="14">
        <f t="shared" si="32"/>
        <v>-9.7902097902098362E-3</v>
      </c>
      <c r="F168" s="14">
        <v>141.5</v>
      </c>
      <c r="G168" s="14">
        <f t="shared" si="33"/>
        <v>1.1436740528949274E-2</v>
      </c>
      <c r="H168" s="14">
        <v>224.67</v>
      </c>
      <c r="I168" s="14">
        <f t="shared" si="34"/>
        <v>0.13018763519291721</v>
      </c>
      <c r="J168" s="14">
        <v>105.65</v>
      </c>
      <c r="K168" s="14">
        <f t="shared" si="35"/>
        <v>2.6326015154459093E-2</v>
      </c>
      <c r="L168" s="14">
        <v>194.13</v>
      </c>
      <c r="M168" s="14">
        <f t="shared" si="36"/>
        <v>-1.4568527918781715E-2</v>
      </c>
      <c r="N168" s="14">
        <v>37.57</v>
      </c>
      <c r="O168" s="14">
        <f t="shared" si="37"/>
        <v>-1.6492146596858714E-2</v>
      </c>
      <c r="P168" s="14">
        <v>37.5</v>
      </c>
      <c r="Q168" s="14">
        <f t="shared" si="38"/>
        <v>1.1542727551324461E-2</v>
      </c>
      <c r="R168" s="14">
        <v>198.21</v>
      </c>
      <c r="S168" s="14">
        <f t="shared" si="39"/>
        <v>-4.3849493487698954E-2</v>
      </c>
      <c r="T168" s="14">
        <v>54.15</v>
      </c>
      <c r="U168" s="14">
        <f t="shared" si="30"/>
        <v>-6.0572687224669242E-3</v>
      </c>
      <c r="V168" s="14">
        <v>67559.78125</v>
      </c>
      <c r="W168">
        <f t="shared" si="40"/>
        <v>-2.4953381105082939E-2</v>
      </c>
      <c r="Z168">
        <f t="shared" si="41"/>
        <v>-3.6534964067680637E-3</v>
      </c>
      <c r="AA168">
        <f t="shared" si="42"/>
        <v>-4.512307692307713E-3</v>
      </c>
      <c r="AB168">
        <f t="shared" si="43"/>
        <v>2.7044610652753212E-3</v>
      </c>
      <c r="AC168">
        <f t="shared" si="44"/>
        <v>-1.8456497797356719E-3</v>
      </c>
    </row>
    <row r="169" spans="1:29" x14ac:dyDescent="0.75">
      <c r="A169" s="1">
        <v>43861.041250000002</v>
      </c>
      <c r="B169" s="14">
        <v>33.81</v>
      </c>
      <c r="C169" s="14">
        <f t="shared" si="31"/>
        <v>-1.8007551553877343E-2</v>
      </c>
      <c r="D169" s="14">
        <v>7.6</v>
      </c>
      <c r="E169" s="14">
        <f t="shared" si="32"/>
        <v>7.3446327683615698E-2</v>
      </c>
      <c r="F169" s="14">
        <v>153</v>
      </c>
      <c r="G169" s="14">
        <f t="shared" si="33"/>
        <v>8.1272084805653622E-2</v>
      </c>
      <c r="H169" s="14">
        <v>233.54</v>
      </c>
      <c r="I169" s="14">
        <f t="shared" si="34"/>
        <v>3.9480126407620109E-2</v>
      </c>
      <c r="J169" s="14">
        <v>116.09</v>
      </c>
      <c r="K169" s="14">
        <f t="shared" si="35"/>
        <v>9.8816848083293829E-2</v>
      </c>
      <c r="L169" s="14">
        <v>200.8</v>
      </c>
      <c r="M169" s="14">
        <f t="shared" si="36"/>
        <v>3.4358419615721614E-2</v>
      </c>
      <c r="N169" s="14">
        <v>37.49</v>
      </c>
      <c r="O169" s="14">
        <f t="shared" si="37"/>
        <v>-2.1293585307425866E-3</v>
      </c>
      <c r="P169" s="14">
        <v>38.97</v>
      </c>
      <c r="Q169" s="14">
        <f t="shared" si="38"/>
        <v>3.9199999999999902E-2</v>
      </c>
      <c r="R169" s="14">
        <v>197.37</v>
      </c>
      <c r="S169" s="14">
        <f t="shared" si="39"/>
        <v>-4.2379294687452385E-3</v>
      </c>
      <c r="T169" s="14">
        <v>54.85</v>
      </c>
      <c r="U169" s="14">
        <f t="shared" si="30"/>
        <v>1.2927054478301114E-2</v>
      </c>
      <c r="V169" s="14">
        <v>66085.8125</v>
      </c>
      <c r="W169">
        <f t="shared" si="40"/>
        <v>4.3445625047779379E-3</v>
      </c>
      <c r="Z169">
        <f t="shared" si="41"/>
        <v>4.6974845928916806E-2</v>
      </c>
      <c r="AA169">
        <f t="shared" si="42"/>
        <v>3.3851412429378475E-2</v>
      </c>
      <c r="AB169">
        <f t="shared" si="43"/>
        <v>9.184559999999977E-3</v>
      </c>
      <c r="AC169">
        <f t="shared" si="44"/>
        <v>3.9388734995383498E-3</v>
      </c>
    </row>
    <row r="170" spans="1:29" x14ac:dyDescent="0.75">
      <c r="A170" s="1">
        <v>43889.041250000002</v>
      </c>
      <c r="B170" s="14">
        <v>29.69</v>
      </c>
      <c r="C170" s="14">
        <f t="shared" si="31"/>
        <v>-0.12185743862762499</v>
      </c>
      <c r="D170" s="14">
        <v>6.34</v>
      </c>
      <c r="E170" s="14">
        <f t="shared" si="32"/>
        <v>-0.16578947368421049</v>
      </c>
      <c r="F170" s="14">
        <v>154</v>
      </c>
      <c r="G170" s="14">
        <f t="shared" si="33"/>
        <v>6.5359477124182774E-3</v>
      </c>
      <c r="H170" s="14">
        <v>213.66</v>
      </c>
      <c r="I170" s="14">
        <f t="shared" si="34"/>
        <v>-8.5124603922240305E-2</v>
      </c>
      <c r="J170" s="14">
        <v>106.64</v>
      </c>
      <c r="K170" s="14">
        <f t="shared" si="35"/>
        <v>-8.1402360237746607E-2</v>
      </c>
      <c r="L170" s="14">
        <v>189.06</v>
      </c>
      <c r="M170" s="14">
        <f t="shared" si="36"/>
        <v>-5.8466135458167368E-2</v>
      </c>
      <c r="N170" s="14">
        <v>35.46</v>
      </c>
      <c r="O170" s="14">
        <f t="shared" si="37"/>
        <v>-5.4147772739397193E-2</v>
      </c>
      <c r="P170" s="14">
        <v>37.270000000000003</v>
      </c>
      <c r="Q170" s="14">
        <f t="shared" si="38"/>
        <v>-4.3623299974339114E-2</v>
      </c>
      <c r="R170" s="14">
        <v>177.44</v>
      </c>
      <c r="S170" s="14">
        <f t="shared" si="39"/>
        <v>-0.10097785884379595</v>
      </c>
      <c r="T170" s="14">
        <v>55.2</v>
      </c>
      <c r="U170" s="14">
        <f t="shared" si="30"/>
        <v>6.3810391978122993E-3</v>
      </c>
      <c r="V170" s="14">
        <v>65648.90625</v>
      </c>
      <c r="W170">
        <f t="shared" si="40"/>
        <v>-4.7298409822991827E-2</v>
      </c>
      <c r="Z170">
        <f t="shared" si="41"/>
        <v>-8.4689004961466849E-2</v>
      </c>
      <c r="AA170">
        <f t="shared" si="42"/>
        <v>-7.6412368421052604E-2</v>
      </c>
      <c r="AB170">
        <f t="shared" si="43"/>
        <v>-1.0220939183987655E-2</v>
      </c>
      <c r="AC170">
        <f t="shared" si="44"/>
        <v>1.9443026435734079E-3</v>
      </c>
    </row>
    <row r="171" spans="1:29" x14ac:dyDescent="0.75">
      <c r="A171" s="1">
        <v>43921.041250000002</v>
      </c>
      <c r="B171" s="14">
        <v>34.479999999999997</v>
      </c>
      <c r="C171" s="14">
        <f t="shared" si="31"/>
        <v>0.16133378241832252</v>
      </c>
      <c r="D171" s="14">
        <v>4.93</v>
      </c>
      <c r="E171" s="14">
        <f t="shared" si="32"/>
        <v>-0.22239747634069407</v>
      </c>
      <c r="F171" s="14">
        <v>150</v>
      </c>
      <c r="G171" s="14">
        <f t="shared" si="33"/>
        <v>-2.5974025974025983E-2</v>
      </c>
      <c r="H171" s="14">
        <v>127.39</v>
      </c>
      <c r="I171" s="14">
        <f t="shared" si="34"/>
        <v>-0.40377234859121969</v>
      </c>
      <c r="J171" s="14">
        <v>65</v>
      </c>
      <c r="K171" s="14">
        <f t="shared" si="35"/>
        <v>-0.3904726181545386</v>
      </c>
      <c r="L171" s="14">
        <v>181.67</v>
      </c>
      <c r="M171" s="14">
        <f t="shared" si="36"/>
        <v>-3.9088120173489949E-2</v>
      </c>
      <c r="N171" s="14">
        <v>29.99</v>
      </c>
      <c r="O171" s="14">
        <f t="shared" si="37"/>
        <v>-0.15425831923293853</v>
      </c>
      <c r="P171" s="14">
        <v>35.92</v>
      </c>
      <c r="Q171" s="14">
        <f t="shared" si="38"/>
        <v>-3.6222162597263297E-2</v>
      </c>
      <c r="R171" s="14">
        <v>157.88</v>
      </c>
      <c r="S171" s="14">
        <f t="shared" si="39"/>
        <v>-0.11023444544634808</v>
      </c>
      <c r="T171" s="14">
        <v>55.75</v>
      </c>
      <c r="U171" s="14">
        <f t="shared" si="30"/>
        <v>9.9637681159419067E-3</v>
      </c>
      <c r="V171" s="14">
        <v>66196.921875</v>
      </c>
      <c r="W171">
        <f t="shared" si="40"/>
        <v>-5.0135338665203089E-2</v>
      </c>
      <c r="Z171">
        <f t="shared" si="41"/>
        <v>-0.10795388939703718</v>
      </c>
      <c r="AA171">
        <f t="shared" si="42"/>
        <v>-0.10250299684542589</v>
      </c>
      <c r="AB171">
        <f t="shared" si="43"/>
        <v>-8.4868526965387915E-3</v>
      </c>
      <c r="AC171">
        <f t="shared" si="44"/>
        <v>3.0359601449274991E-3</v>
      </c>
    </row>
    <row r="172" spans="1:29" x14ac:dyDescent="0.75">
      <c r="A172" s="1">
        <v>43951.041250000002</v>
      </c>
      <c r="B172" s="14">
        <v>35.590000000000003</v>
      </c>
      <c r="C172" s="14">
        <f t="shared" si="31"/>
        <v>3.2192575406032597E-2</v>
      </c>
      <c r="D172" s="14">
        <v>5.07</v>
      </c>
      <c r="E172" s="14">
        <f t="shared" si="32"/>
        <v>2.8397565922920975E-2</v>
      </c>
      <c r="F172" s="14">
        <v>144.06</v>
      </c>
      <c r="G172" s="14">
        <f t="shared" si="33"/>
        <v>-3.9599999999999969E-2</v>
      </c>
      <c r="H172" s="14">
        <v>150.6</v>
      </c>
      <c r="I172" s="14">
        <f t="shared" si="34"/>
        <v>0.18219640474134535</v>
      </c>
      <c r="J172" s="14">
        <v>65.91</v>
      </c>
      <c r="K172" s="14">
        <f t="shared" si="35"/>
        <v>1.4000000000000012E-2</v>
      </c>
      <c r="L172" s="14">
        <v>228.79</v>
      </c>
      <c r="M172" s="14">
        <f t="shared" si="36"/>
        <v>0.25937138768096002</v>
      </c>
      <c r="N172" s="14">
        <v>29.86</v>
      </c>
      <c r="O172" s="14">
        <f t="shared" si="37"/>
        <v>-4.334778259419747E-3</v>
      </c>
      <c r="P172" s="14">
        <v>34.04</v>
      </c>
      <c r="Q172" s="14">
        <f t="shared" si="38"/>
        <v>-5.2338530066815214E-2</v>
      </c>
      <c r="R172" s="14">
        <v>186.08</v>
      </c>
      <c r="S172" s="14">
        <f t="shared" si="39"/>
        <v>0.17861667088928312</v>
      </c>
      <c r="T172" s="14">
        <v>57.97</v>
      </c>
      <c r="U172" s="14">
        <f t="shared" si="30"/>
        <v>3.9820627802690467E-2</v>
      </c>
      <c r="V172" s="14">
        <v>65779.226563000004</v>
      </c>
      <c r="W172">
        <f t="shared" si="40"/>
        <v>0.1092186493459868</v>
      </c>
      <c r="Z172">
        <f t="shared" si="41"/>
        <v>1.2958865830699259E-2</v>
      </c>
      <c r="AA172">
        <f t="shared" si="42"/>
        <v>1.3088438133874277E-2</v>
      </c>
      <c r="AB172">
        <f t="shared" si="43"/>
        <v>-1.2262917594654804E-2</v>
      </c>
      <c r="AC172">
        <f t="shared" si="44"/>
        <v>1.2133345291479787E-2</v>
      </c>
    </row>
    <row r="173" spans="1:29" x14ac:dyDescent="0.75">
      <c r="A173" s="1">
        <v>43980.041250000002</v>
      </c>
      <c r="B173" s="14">
        <v>34.67</v>
      </c>
      <c r="C173" s="14">
        <f t="shared" si="31"/>
        <v>-2.5849957853329664E-2</v>
      </c>
      <c r="D173" s="14">
        <v>5.25</v>
      </c>
      <c r="E173" s="14">
        <f t="shared" si="32"/>
        <v>3.5502958579881616E-2</v>
      </c>
      <c r="F173" s="14">
        <v>145</v>
      </c>
      <c r="G173" s="14">
        <f t="shared" si="33"/>
        <v>6.5250590031931122E-3</v>
      </c>
      <c r="H173" s="14">
        <v>146.38999999999999</v>
      </c>
      <c r="I173" s="14">
        <f t="shared" si="34"/>
        <v>-2.7954847277556483E-2</v>
      </c>
      <c r="J173" s="14">
        <v>67.25</v>
      </c>
      <c r="K173" s="14">
        <f t="shared" si="35"/>
        <v>2.033075405856466E-2</v>
      </c>
      <c r="L173" s="14">
        <v>220.08</v>
      </c>
      <c r="M173" s="14">
        <f t="shared" si="36"/>
        <v>-3.8069845710039685E-2</v>
      </c>
      <c r="N173" s="14">
        <v>35.11</v>
      </c>
      <c r="O173" s="14">
        <f t="shared" si="37"/>
        <v>0.17582049564634961</v>
      </c>
      <c r="P173" s="14">
        <v>34.42</v>
      </c>
      <c r="Q173" s="14">
        <f t="shared" si="38"/>
        <v>1.1163337250293948E-2</v>
      </c>
      <c r="R173" s="14">
        <v>210.87</v>
      </c>
      <c r="S173" s="14">
        <f t="shared" si="39"/>
        <v>0.13322226999140141</v>
      </c>
      <c r="T173" s="14">
        <v>55.35</v>
      </c>
      <c r="U173" s="14">
        <f t="shared" si="30"/>
        <v>-4.5195790926341184E-2</v>
      </c>
      <c r="V173" s="14">
        <v>65199.398437999997</v>
      </c>
      <c r="W173">
        <f t="shared" si="40"/>
        <v>4.4013239532530113E-2</v>
      </c>
      <c r="Z173">
        <f t="shared" si="41"/>
        <v>5.2077260319551479E-3</v>
      </c>
      <c r="AA173">
        <f t="shared" si="42"/>
        <v>1.6363313609467436E-2</v>
      </c>
      <c r="AB173">
        <f t="shared" si="43"/>
        <v>2.6155699177438721E-3</v>
      </c>
      <c r="AC173">
        <f t="shared" si="44"/>
        <v>-1.377115749525616E-2</v>
      </c>
    </row>
    <row r="174" spans="1:29" x14ac:dyDescent="0.75">
      <c r="A174" s="1">
        <v>44012.041250000002</v>
      </c>
      <c r="B174" s="14">
        <v>38.47</v>
      </c>
      <c r="C174" s="14">
        <f t="shared" si="31"/>
        <v>0.10960484568791462</v>
      </c>
      <c r="D174" s="14">
        <v>6.48</v>
      </c>
      <c r="E174" s="14">
        <f t="shared" si="32"/>
        <v>0.23428571428571443</v>
      </c>
      <c r="F174" s="14">
        <v>140</v>
      </c>
      <c r="G174" s="14">
        <f t="shared" si="33"/>
        <v>-3.4482758620689613E-2</v>
      </c>
      <c r="H174" s="14">
        <v>165.27</v>
      </c>
      <c r="I174" s="14">
        <f t="shared" si="34"/>
        <v>0.12897055809823099</v>
      </c>
      <c r="J174" s="14">
        <v>79.72</v>
      </c>
      <c r="K174" s="14">
        <f t="shared" si="35"/>
        <v>0.18542750929368035</v>
      </c>
      <c r="L174" s="14">
        <v>248.05</v>
      </c>
      <c r="M174" s="14">
        <f t="shared" si="36"/>
        <v>0.12709014903671401</v>
      </c>
      <c r="N174" s="14">
        <v>33.97</v>
      </c>
      <c r="O174" s="14">
        <f t="shared" si="37"/>
        <v>-3.2469381942466513E-2</v>
      </c>
      <c r="P174" s="14">
        <v>35.880000000000003</v>
      </c>
      <c r="Q174" s="14">
        <f t="shared" si="38"/>
        <v>4.2417199302730912E-2</v>
      </c>
      <c r="R174" s="14">
        <v>234.65</v>
      </c>
      <c r="S174" s="14">
        <f t="shared" si="39"/>
        <v>0.11277090150329583</v>
      </c>
      <c r="T174" s="14">
        <v>55.15</v>
      </c>
      <c r="U174" s="14">
        <f t="shared" si="30"/>
        <v>-3.6133694670280603E-3</v>
      </c>
      <c r="V174" s="14">
        <v>64134.898437999997</v>
      </c>
      <c r="W174">
        <f t="shared" si="40"/>
        <v>5.4578766018133884E-2</v>
      </c>
      <c r="Z174">
        <f t="shared" si="41"/>
        <v>0.11681964183431219</v>
      </c>
      <c r="AA174">
        <f t="shared" si="42"/>
        <v>0.10798228571428578</v>
      </c>
      <c r="AB174">
        <f t="shared" si="43"/>
        <v>9.9383497966298532E-3</v>
      </c>
      <c r="AC174">
        <f t="shared" si="44"/>
        <v>-1.1009936766034501E-3</v>
      </c>
    </row>
    <row r="175" spans="1:29" x14ac:dyDescent="0.75">
      <c r="A175" s="1">
        <v>44043.041250000002</v>
      </c>
      <c r="B175" s="14">
        <v>40.090000000000003</v>
      </c>
      <c r="C175" s="14">
        <f t="shared" si="31"/>
        <v>4.2110735638159813E-2</v>
      </c>
      <c r="D175" s="14">
        <v>6.82</v>
      </c>
      <c r="E175" s="14">
        <f t="shared" si="32"/>
        <v>5.2469135802469147E-2</v>
      </c>
      <c r="F175" s="14">
        <v>132.69999999999999</v>
      </c>
      <c r="G175" s="14">
        <f t="shared" si="33"/>
        <v>-5.2142857142857268E-2</v>
      </c>
      <c r="H175" s="14">
        <v>147.72999999999999</v>
      </c>
      <c r="I175" s="14">
        <f t="shared" si="34"/>
        <v>-0.10612936407091433</v>
      </c>
      <c r="J175" s="14">
        <v>79.900000000000006</v>
      </c>
      <c r="K175" s="14">
        <f t="shared" si="35"/>
        <v>2.2579026593076978E-3</v>
      </c>
      <c r="L175" s="14">
        <v>261.14999999999998</v>
      </c>
      <c r="M175" s="14">
        <f t="shared" si="36"/>
        <v>5.2811933078008355E-2</v>
      </c>
      <c r="N175" s="14">
        <v>34.090000000000003</v>
      </c>
      <c r="O175" s="14">
        <f t="shared" si="37"/>
        <v>3.5325287017957674E-3</v>
      </c>
      <c r="P175" s="14">
        <v>36.42</v>
      </c>
      <c r="Q175" s="14">
        <f t="shared" si="38"/>
        <v>1.5050167224080147E-2</v>
      </c>
      <c r="R175" s="14">
        <v>332.09</v>
      </c>
      <c r="S175" s="14">
        <f t="shared" si="39"/>
        <v>0.41525676539526946</v>
      </c>
      <c r="T175" s="14">
        <v>52.23</v>
      </c>
      <c r="U175" s="14">
        <f t="shared" si="30"/>
        <v>-5.2946509519492313E-2</v>
      </c>
      <c r="V175" s="14">
        <v>64370.949219000002</v>
      </c>
      <c r="W175">
        <f t="shared" si="40"/>
        <v>0.18115512793788857</v>
      </c>
      <c r="Z175">
        <f t="shared" si="41"/>
        <v>1.1576477421370697E-2</v>
      </c>
      <c r="AA175">
        <f t="shared" si="42"/>
        <v>2.4183024691358027E-2</v>
      </c>
      <c r="AB175">
        <f t="shared" si="43"/>
        <v>3.5262541806019786E-3</v>
      </c>
      <c r="AC175">
        <f t="shared" si="44"/>
        <v>-1.6132801450589308E-2</v>
      </c>
    </row>
    <row r="176" spans="1:29" x14ac:dyDescent="0.75">
      <c r="A176" s="1">
        <v>44074.041250000002</v>
      </c>
      <c r="B176" s="14">
        <v>40.42</v>
      </c>
      <c r="C176" s="14">
        <f t="shared" si="31"/>
        <v>8.2314791718631763E-3</v>
      </c>
      <c r="D176" s="14">
        <v>7.02</v>
      </c>
      <c r="E176" s="14">
        <f t="shared" si="32"/>
        <v>2.9325513196480912E-2</v>
      </c>
      <c r="F176" s="14">
        <v>122.52</v>
      </c>
      <c r="G176" s="14">
        <f t="shared" si="33"/>
        <v>-7.6714393368500278E-2</v>
      </c>
      <c r="H176" s="14">
        <v>170.18</v>
      </c>
      <c r="I176" s="14">
        <f t="shared" si="34"/>
        <v>0.15196642523522663</v>
      </c>
      <c r="J176" s="14">
        <v>75.67</v>
      </c>
      <c r="K176" s="14">
        <f t="shared" si="35"/>
        <v>-5.2941176470588269E-2</v>
      </c>
      <c r="L176" s="14">
        <v>258.81</v>
      </c>
      <c r="M176" s="14">
        <f t="shared" si="36"/>
        <v>-8.9603676048247705E-3</v>
      </c>
      <c r="N176" s="14">
        <v>37.35</v>
      </c>
      <c r="O176" s="14">
        <f t="shared" si="37"/>
        <v>9.5629216779113957E-2</v>
      </c>
      <c r="P176" s="14">
        <v>35.159999999999997</v>
      </c>
      <c r="Q176" s="14">
        <f t="shared" si="38"/>
        <v>-3.4596375617792607E-2</v>
      </c>
      <c r="R176" s="14">
        <v>365.05</v>
      </c>
      <c r="S176" s="14">
        <f t="shared" si="39"/>
        <v>9.9250203258153036E-2</v>
      </c>
      <c r="T176" s="14">
        <v>52.53</v>
      </c>
      <c r="U176" s="14">
        <f t="shared" si="30"/>
        <v>5.7438253877082346E-3</v>
      </c>
      <c r="V176" s="14">
        <v>65775.140625</v>
      </c>
      <c r="W176">
        <f t="shared" si="40"/>
        <v>5.2497014322930635E-2</v>
      </c>
      <c r="Z176">
        <f t="shared" si="41"/>
        <v>7.1603418206439423E-3</v>
      </c>
      <c r="AA176">
        <f t="shared" si="42"/>
        <v>1.3516129032258052E-2</v>
      </c>
      <c r="AB176">
        <f t="shared" si="43"/>
        <v>-8.1059308072488085E-3</v>
      </c>
      <c r="AC176">
        <f t="shared" si="44"/>
        <v>1.7501435956346991E-3</v>
      </c>
    </row>
    <row r="177" spans="1:29" x14ac:dyDescent="0.75">
      <c r="A177" s="1">
        <v>44104.041250000002</v>
      </c>
      <c r="B177" s="14">
        <v>41.37</v>
      </c>
      <c r="C177" s="14">
        <f t="shared" si="31"/>
        <v>2.3503216229589174E-2</v>
      </c>
      <c r="D177" s="14">
        <v>8.3800000000000008</v>
      </c>
      <c r="E177" s="14">
        <f t="shared" si="32"/>
        <v>0.19373219373219386</v>
      </c>
      <c r="F177" s="14">
        <v>91</v>
      </c>
      <c r="G177" s="14">
        <f t="shared" si="33"/>
        <v>-0.25726412014364997</v>
      </c>
      <c r="H177" s="14">
        <v>177.49</v>
      </c>
      <c r="I177" s="14">
        <f t="shared" si="34"/>
        <v>4.2954518744858339E-2</v>
      </c>
      <c r="J177" s="14">
        <v>76.62</v>
      </c>
      <c r="K177" s="14">
        <f t="shared" si="35"/>
        <v>1.2554513017047686E-2</v>
      </c>
      <c r="L177" s="14">
        <v>245.05</v>
      </c>
      <c r="M177" s="14">
        <f t="shared" si="36"/>
        <v>-5.3166415517174714E-2</v>
      </c>
      <c r="N177" s="14">
        <v>40.03</v>
      </c>
      <c r="O177" s="14">
        <f t="shared" si="37"/>
        <v>7.1753681392235702E-2</v>
      </c>
      <c r="P177" s="14">
        <v>35.1</v>
      </c>
      <c r="Q177" s="14">
        <f t="shared" si="38"/>
        <v>-1.7064846416381396E-3</v>
      </c>
      <c r="R177" s="14">
        <v>357.29</v>
      </c>
      <c r="S177" s="14">
        <f t="shared" si="39"/>
        <v>-2.1257362005204783E-2</v>
      </c>
      <c r="T177" s="14">
        <v>53.05</v>
      </c>
      <c r="U177" s="14">
        <f t="shared" si="30"/>
        <v>9.8991052731771667E-3</v>
      </c>
      <c r="V177" s="14">
        <v>68187.601563000004</v>
      </c>
      <c r="W177">
        <f t="shared" si="40"/>
        <v>-5.6791283660138081E-3</v>
      </c>
      <c r="Z177">
        <f t="shared" si="41"/>
        <v>9.1907596116369408E-2</v>
      </c>
      <c r="AA177">
        <f t="shared" si="42"/>
        <v>8.9291168091168147E-2</v>
      </c>
      <c r="AB177">
        <f t="shared" si="43"/>
        <v>-3.9982935153581612E-4</v>
      </c>
      <c r="AC177">
        <f t="shared" si="44"/>
        <v>3.016257376737083E-3</v>
      </c>
    </row>
    <row r="178" spans="1:29" x14ac:dyDescent="0.75">
      <c r="A178" s="1">
        <v>44134.041250000002</v>
      </c>
      <c r="B178" s="14">
        <v>40.99</v>
      </c>
      <c r="C178" s="14">
        <f t="shared" si="31"/>
        <v>-9.1854000483441167E-3</v>
      </c>
      <c r="D178" s="14">
        <v>8.76</v>
      </c>
      <c r="E178" s="14">
        <f t="shared" si="32"/>
        <v>4.5346062052505909E-2</v>
      </c>
      <c r="F178" s="14">
        <v>89</v>
      </c>
      <c r="G178" s="14">
        <f t="shared" si="33"/>
        <v>-2.1978021978022011E-2</v>
      </c>
      <c r="H178" s="14">
        <v>176.53</v>
      </c>
      <c r="I178" s="14">
        <f t="shared" si="34"/>
        <v>-5.4087554228408052E-3</v>
      </c>
      <c r="J178" s="14">
        <v>94.5</v>
      </c>
      <c r="K178" s="14">
        <f t="shared" si="35"/>
        <v>0.23335943617854338</v>
      </c>
      <c r="L178" s="14">
        <v>225.61</v>
      </c>
      <c r="M178" s="14">
        <f t="shared" si="36"/>
        <v>-7.9330748826770048E-2</v>
      </c>
      <c r="N178" s="14">
        <v>37.590000000000003</v>
      </c>
      <c r="O178" s="14">
        <f t="shared" si="37"/>
        <v>-6.0954284286784843E-2</v>
      </c>
      <c r="P178" s="14">
        <v>31.53</v>
      </c>
      <c r="Q178" s="14">
        <f t="shared" si="38"/>
        <v>-0.10170940170940168</v>
      </c>
      <c r="R178" s="14">
        <v>337.76</v>
      </c>
      <c r="S178" s="14">
        <f t="shared" si="39"/>
        <v>-5.4661479470458296E-2</v>
      </c>
      <c r="T178" s="14">
        <v>51.25</v>
      </c>
      <c r="U178" s="14">
        <f t="shared" si="30"/>
        <v>-3.3930254476908561E-2</v>
      </c>
      <c r="V178" s="14">
        <v>67061.34375</v>
      </c>
      <c r="W178">
        <f t="shared" si="40"/>
        <v>-4.4295866973683429E-2</v>
      </c>
      <c r="Z178">
        <f t="shared" si="41"/>
        <v>-1.3269061359626884E-2</v>
      </c>
      <c r="AA178">
        <f t="shared" si="42"/>
        <v>2.0899999999999971E-2</v>
      </c>
      <c r="AB178">
        <f t="shared" si="43"/>
        <v>-2.3830512820512816E-2</v>
      </c>
      <c r="AC178">
        <f t="shared" si="44"/>
        <v>-1.0338548539114039E-2</v>
      </c>
    </row>
    <row r="179" spans="1:29" x14ac:dyDescent="0.75">
      <c r="A179" s="1">
        <v>44165.041250000002</v>
      </c>
      <c r="B179" s="14">
        <v>42.76</v>
      </c>
      <c r="C179" s="14">
        <f t="shared" si="31"/>
        <v>4.3181263722859242E-2</v>
      </c>
      <c r="D179" s="14">
        <v>9.1999999999999993</v>
      </c>
      <c r="E179" s="14">
        <f t="shared" si="32"/>
        <v>5.0228310502283158E-2</v>
      </c>
      <c r="F179" s="14">
        <v>84.49</v>
      </c>
      <c r="G179" s="14">
        <f t="shared" si="33"/>
        <v>-5.0674157303370881E-2</v>
      </c>
      <c r="H179" s="14">
        <v>206.92</v>
      </c>
      <c r="I179" s="14">
        <f t="shared" si="34"/>
        <v>0.17215204214581092</v>
      </c>
      <c r="J179" s="14">
        <v>101.19</v>
      </c>
      <c r="K179" s="14">
        <f t="shared" si="35"/>
        <v>7.0793650793650853E-2</v>
      </c>
      <c r="L179" s="14">
        <v>222.37</v>
      </c>
      <c r="M179" s="14">
        <f t="shared" si="36"/>
        <v>-1.4361065555604791E-2</v>
      </c>
      <c r="N179" s="14">
        <v>39.96</v>
      </c>
      <c r="O179" s="14">
        <f t="shared" si="37"/>
        <v>6.3048683160414898E-2</v>
      </c>
      <c r="P179" s="14">
        <v>32.06</v>
      </c>
      <c r="Q179" s="14">
        <f t="shared" si="38"/>
        <v>1.6809387884554328E-2</v>
      </c>
      <c r="R179" s="14">
        <v>296.58999999999997</v>
      </c>
      <c r="S179" s="14">
        <f t="shared" si="39"/>
        <v>-0.12189128375177649</v>
      </c>
      <c r="T179" s="14">
        <v>53.25</v>
      </c>
      <c r="U179" s="14">
        <f t="shared" si="30"/>
        <v>3.9024390243902474E-2</v>
      </c>
      <c r="V179" s="14">
        <v>66685.757813000004</v>
      </c>
      <c r="W179">
        <f t="shared" si="40"/>
        <v>-4.1433446753937009E-2</v>
      </c>
      <c r="Z179">
        <f t="shared" si="41"/>
        <v>3.8979399599170475E-2</v>
      </c>
      <c r="AA179">
        <f t="shared" si="42"/>
        <v>2.3150228310502306E-2</v>
      </c>
      <c r="AB179">
        <f t="shared" si="43"/>
        <v>3.9384395813510794E-3</v>
      </c>
      <c r="AC179">
        <f t="shared" si="44"/>
        <v>1.1890731707317085E-2</v>
      </c>
    </row>
    <row r="180" spans="1:29" x14ac:dyDescent="0.75">
      <c r="A180" s="1">
        <v>44196.041250000002</v>
      </c>
      <c r="B180" s="14">
        <v>43.24</v>
      </c>
      <c r="C180" s="14">
        <f t="shared" si="31"/>
        <v>1.1225444340505319E-2</v>
      </c>
      <c r="D180" s="14">
        <v>10.27</v>
      </c>
      <c r="E180" s="14">
        <f t="shared" si="32"/>
        <v>0.11630434782608701</v>
      </c>
      <c r="F180" s="14">
        <v>101.99</v>
      </c>
      <c r="G180" s="14">
        <f t="shared" si="33"/>
        <v>0.20712510356255187</v>
      </c>
      <c r="H180" s="14">
        <v>222.14</v>
      </c>
      <c r="I180" s="14">
        <f t="shared" si="34"/>
        <v>7.3554997100328645E-2</v>
      </c>
      <c r="J180" s="14">
        <v>109.93</v>
      </c>
      <c r="K180" s="14">
        <f t="shared" si="35"/>
        <v>8.6372171163158429E-2</v>
      </c>
      <c r="L180" s="14">
        <v>236.93</v>
      </c>
      <c r="M180" s="14">
        <f t="shared" si="36"/>
        <v>6.5476458155326656E-2</v>
      </c>
      <c r="N180" s="14">
        <v>52.22</v>
      </c>
      <c r="O180" s="14">
        <f t="shared" si="37"/>
        <v>0.30680680680680683</v>
      </c>
      <c r="P180" s="14">
        <v>33.99</v>
      </c>
      <c r="Q180" s="14">
        <f t="shared" si="38"/>
        <v>6.0199625701809145E-2</v>
      </c>
      <c r="R180" s="14">
        <v>336.78</v>
      </c>
      <c r="S180" s="14">
        <f t="shared" si="39"/>
        <v>0.13550692875686976</v>
      </c>
      <c r="T180" s="14">
        <v>55.98</v>
      </c>
      <c r="U180" s="14">
        <f t="shared" si="30"/>
        <v>5.1267605633802837E-2</v>
      </c>
      <c r="V180" s="14">
        <v>67087.640625</v>
      </c>
      <c r="W180">
        <f t="shared" si="40"/>
        <v>9.3387267195336299E-2</v>
      </c>
      <c r="Z180">
        <f t="shared" si="41"/>
        <v>8.3330685651597111E-2</v>
      </c>
      <c r="AA180">
        <f t="shared" si="42"/>
        <v>5.36046739130435E-2</v>
      </c>
      <c r="AB180">
        <f t="shared" si="43"/>
        <v>1.4104772301933884E-2</v>
      </c>
      <c r="AC180">
        <f t="shared" si="44"/>
        <v>1.5621239436619725E-2</v>
      </c>
    </row>
    <row r="181" spans="1:29" x14ac:dyDescent="0.75">
      <c r="A181" s="1">
        <v>44225.041250000002</v>
      </c>
      <c r="B181" s="14">
        <v>38.520000000000003</v>
      </c>
      <c r="C181" s="14">
        <f t="shared" si="31"/>
        <v>-0.10915818686401479</v>
      </c>
      <c r="D181" s="14">
        <v>11.76</v>
      </c>
      <c r="E181" s="14">
        <f t="shared" si="32"/>
        <v>0.1450827653359299</v>
      </c>
      <c r="F181" s="14">
        <v>123</v>
      </c>
      <c r="G181" s="14">
        <f t="shared" si="33"/>
        <v>0.20600058829296986</v>
      </c>
      <c r="H181" s="14">
        <v>206.6</v>
      </c>
      <c r="I181" s="14">
        <f t="shared" si="34"/>
        <v>-6.9955883676960484E-2</v>
      </c>
      <c r="J181" s="14">
        <v>101.57</v>
      </c>
      <c r="K181" s="14">
        <f t="shared" si="35"/>
        <v>-7.6048394432820965E-2</v>
      </c>
      <c r="L181" s="14">
        <v>225.06</v>
      </c>
      <c r="M181" s="14">
        <f t="shared" si="36"/>
        <v>-5.0099185413413294E-2</v>
      </c>
      <c r="N181" s="14">
        <v>45.5</v>
      </c>
      <c r="O181" s="14">
        <f t="shared" si="37"/>
        <v>-0.12868632707774796</v>
      </c>
      <c r="P181" s="14">
        <v>35.81</v>
      </c>
      <c r="Q181" s="14">
        <f t="shared" si="38"/>
        <v>5.3545160341276876E-2</v>
      </c>
      <c r="R181" s="14">
        <v>306.75</v>
      </c>
      <c r="S181" s="14">
        <f t="shared" si="39"/>
        <v>-8.9168002850525507E-2</v>
      </c>
      <c r="T181" s="14">
        <v>58.35</v>
      </c>
      <c r="U181" s="14">
        <f t="shared" si="30"/>
        <v>4.2336548767416993E-2</v>
      </c>
      <c r="V181" s="14">
        <v>68610.71875</v>
      </c>
      <c r="W181">
        <f t="shared" si="40"/>
        <v>-2.3415727041554257E-2</v>
      </c>
      <c r="Z181">
        <f t="shared" si="41"/>
        <v>9.2314224020723229E-2</v>
      </c>
      <c r="AA181">
        <f t="shared" si="42"/>
        <v>6.6868646543330093E-2</v>
      </c>
      <c r="AB181">
        <f t="shared" si="43"/>
        <v>1.2545631067961173E-2</v>
      </c>
      <c r="AC181">
        <f t="shared" si="44"/>
        <v>1.2899946409431959E-2</v>
      </c>
    </row>
    <row r="182" spans="1:29" x14ac:dyDescent="0.75">
      <c r="A182" s="1">
        <v>44253.041250000002</v>
      </c>
      <c r="B182" s="14">
        <v>39.299999999999997</v>
      </c>
      <c r="C182" s="14">
        <f t="shared" si="31"/>
        <v>2.024922118380057E-2</v>
      </c>
      <c r="D182" s="14">
        <v>13.94</v>
      </c>
      <c r="E182" s="14">
        <f t="shared" si="32"/>
        <v>0.18537414965986398</v>
      </c>
      <c r="F182" s="14">
        <v>108</v>
      </c>
      <c r="G182" s="14">
        <f t="shared" si="33"/>
        <v>-0.12195121951219512</v>
      </c>
      <c r="H182" s="14">
        <v>211.64</v>
      </c>
      <c r="I182" s="14">
        <f t="shared" si="34"/>
        <v>2.4394966118102657E-2</v>
      </c>
      <c r="J182" s="14">
        <v>105.06</v>
      </c>
      <c r="K182" s="14">
        <f t="shared" si="35"/>
        <v>3.4360539529388667E-2</v>
      </c>
      <c r="L182" s="14">
        <v>228.02</v>
      </c>
      <c r="M182" s="14">
        <f t="shared" si="36"/>
        <v>1.3152048342664147E-2</v>
      </c>
      <c r="N182" s="14">
        <v>42.48</v>
      </c>
      <c r="O182" s="14">
        <f t="shared" si="37"/>
        <v>-6.6373626373626426E-2</v>
      </c>
      <c r="P182" s="14">
        <v>33.450000000000003</v>
      </c>
      <c r="Q182" s="14">
        <f t="shared" si="38"/>
        <v>-6.5903378944428881E-2</v>
      </c>
      <c r="R182" s="14">
        <v>287.14999999999998</v>
      </c>
      <c r="S182" s="14">
        <f t="shared" si="39"/>
        <v>-6.3895680521597442E-2</v>
      </c>
      <c r="T182" s="14">
        <v>59.68</v>
      </c>
      <c r="U182" s="14">
        <f t="shared" si="30"/>
        <v>2.2793487574978455E-2</v>
      </c>
      <c r="V182" s="14">
        <v>69702.023438000004</v>
      </c>
      <c r="W182">
        <f t="shared" si="40"/>
        <v>-2.0551096473309494E-2</v>
      </c>
      <c r="Z182">
        <f t="shared" si="41"/>
        <v>7.6942959555647561E-2</v>
      </c>
      <c r="AA182">
        <f t="shared" si="42"/>
        <v>8.5438945578231312E-2</v>
      </c>
      <c r="AB182">
        <f t="shared" si="43"/>
        <v>-1.5441161686679687E-2</v>
      </c>
      <c r="AC182">
        <f t="shared" si="44"/>
        <v>6.9451756640959358E-3</v>
      </c>
    </row>
    <row r="183" spans="1:29" x14ac:dyDescent="0.75">
      <c r="A183" s="1">
        <v>44286.041250000002</v>
      </c>
      <c r="B183" s="14">
        <v>42.9</v>
      </c>
      <c r="C183" s="14">
        <f t="shared" si="31"/>
        <v>9.1603053435114656E-2</v>
      </c>
      <c r="D183" s="14">
        <v>14.42</v>
      </c>
      <c r="E183" s="14">
        <f t="shared" si="32"/>
        <v>3.4433285509325673E-2</v>
      </c>
      <c r="F183" s="14">
        <v>108</v>
      </c>
      <c r="G183" s="14">
        <f t="shared" si="33"/>
        <v>0</v>
      </c>
      <c r="H183" s="14">
        <v>213.66</v>
      </c>
      <c r="I183" s="14">
        <f t="shared" si="34"/>
        <v>9.5445095445096939E-3</v>
      </c>
      <c r="J183" s="14">
        <v>115.13</v>
      </c>
      <c r="K183" s="14">
        <f t="shared" si="35"/>
        <v>9.5849990481629455E-2</v>
      </c>
      <c r="L183" s="14">
        <v>241.39</v>
      </c>
      <c r="M183" s="14">
        <f t="shared" si="36"/>
        <v>5.8635207437943926E-2</v>
      </c>
      <c r="N183" s="14">
        <v>44.18</v>
      </c>
      <c r="O183" s="14">
        <f t="shared" si="37"/>
        <v>4.0018832391713888E-2</v>
      </c>
      <c r="P183" s="14">
        <v>34.93</v>
      </c>
      <c r="Q183" s="14">
        <f t="shared" si="38"/>
        <v>4.4245142002989457E-2</v>
      </c>
      <c r="R183" s="14">
        <v>263.63</v>
      </c>
      <c r="S183" s="14">
        <f t="shared" si="39"/>
        <v>-8.1908410238551221E-2</v>
      </c>
      <c r="T183" s="14">
        <v>64.47</v>
      </c>
      <c r="U183" s="14">
        <f t="shared" si="30"/>
        <v>8.0261394101876604E-2</v>
      </c>
      <c r="V183" s="14">
        <v>68986.632813000004</v>
      </c>
      <c r="W183">
        <f t="shared" si="40"/>
        <v>-8.2350806833730861E-4</v>
      </c>
      <c r="Z183">
        <f t="shared" si="41"/>
        <v>5.0692584845390437E-2</v>
      </c>
      <c r="AA183">
        <f t="shared" si="42"/>
        <v>1.5870301291248202E-2</v>
      </c>
      <c r="AB183">
        <f t="shared" si="43"/>
        <v>1.036663677130043E-2</v>
      </c>
      <c r="AC183">
        <f t="shared" si="44"/>
        <v>2.4455646782841803E-2</v>
      </c>
    </row>
    <row r="184" spans="1:29" x14ac:dyDescent="0.75">
      <c r="A184" s="1">
        <v>44316.041250000002</v>
      </c>
      <c r="B184" s="14">
        <v>40.54</v>
      </c>
      <c r="C184" s="14">
        <f t="shared" si="31"/>
        <v>-5.5011655011654947E-2</v>
      </c>
      <c r="D184" s="14">
        <v>16.09</v>
      </c>
      <c r="E184" s="14">
        <f t="shared" si="32"/>
        <v>0.11581137309292644</v>
      </c>
      <c r="F184" s="14">
        <v>120</v>
      </c>
      <c r="G184" s="14">
        <f t="shared" si="33"/>
        <v>0.11111111111111116</v>
      </c>
      <c r="H184" s="14">
        <v>208.24</v>
      </c>
      <c r="I184" s="14">
        <f t="shared" si="34"/>
        <v>-2.536740615931854E-2</v>
      </c>
      <c r="J184" s="14">
        <v>115.25</v>
      </c>
      <c r="K184" s="14">
        <f t="shared" si="35"/>
        <v>1.0423000086858814E-3</v>
      </c>
      <c r="L184" s="14">
        <v>220.29</v>
      </c>
      <c r="M184" s="14">
        <f t="shared" si="36"/>
        <v>-8.7410414681635462E-2</v>
      </c>
      <c r="N184" s="14">
        <v>42.61</v>
      </c>
      <c r="O184" s="14">
        <f t="shared" si="37"/>
        <v>-3.5536441828881826E-2</v>
      </c>
      <c r="P184" s="14">
        <v>35</v>
      </c>
      <c r="Q184" s="14">
        <f t="shared" si="38"/>
        <v>2.0040080160321772E-3</v>
      </c>
      <c r="R184" s="14">
        <v>260.87</v>
      </c>
      <c r="S184" s="14">
        <f t="shared" si="39"/>
        <v>-1.0469218222508792E-2</v>
      </c>
      <c r="T184" s="14">
        <v>66.31</v>
      </c>
      <c r="U184" s="14">
        <f t="shared" si="30"/>
        <v>2.8540406390569206E-2</v>
      </c>
      <c r="V184" s="14">
        <v>68529.21875</v>
      </c>
      <c r="W184">
        <f t="shared" si="40"/>
        <v>9.0355940840302074E-3</v>
      </c>
      <c r="Z184">
        <f t="shared" si="41"/>
        <v>6.2543262763892563E-2</v>
      </c>
      <c r="AA184">
        <f t="shared" si="42"/>
        <v>5.337746185852979E-2</v>
      </c>
      <c r="AB184">
        <f t="shared" si="43"/>
        <v>4.6953907815633914E-4</v>
      </c>
      <c r="AC184">
        <f t="shared" si="44"/>
        <v>8.6962618272064373E-3</v>
      </c>
    </row>
    <row r="185" spans="1:29" x14ac:dyDescent="0.75">
      <c r="A185" s="1">
        <v>44347.041250000002</v>
      </c>
      <c r="B185" s="14">
        <v>43.85</v>
      </c>
      <c r="C185" s="14">
        <f t="shared" si="31"/>
        <v>8.1647755303404068E-2</v>
      </c>
      <c r="D185" s="14">
        <v>16.809999999999999</v>
      </c>
      <c r="E185" s="14">
        <f t="shared" si="32"/>
        <v>4.4748290863890539E-2</v>
      </c>
      <c r="F185" s="14">
        <v>121</v>
      </c>
      <c r="G185" s="14">
        <f t="shared" si="33"/>
        <v>8.3333333333333037E-3</v>
      </c>
      <c r="H185" s="14">
        <v>215.08</v>
      </c>
      <c r="I185" s="14">
        <f t="shared" si="34"/>
        <v>3.2846715328467058E-2</v>
      </c>
      <c r="J185" s="14">
        <v>137.47999999999999</v>
      </c>
      <c r="K185" s="14">
        <f t="shared" si="35"/>
        <v>0.19288503253796097</v>
      </c>
      <c r="L185" s="14">
        <v>217.04</v>
      </c>
      <c r="M185" s="14">
        <f t="shared" si="36"/>
        <v>-1.4753279767579119E-2</v>
      </c>
      <c r="N185" s="14">
        <v>44.89</v>
      </c>
      <c r="O185" s="14">
        <f t="shared" si="37"/>
        <v>5.3508566064304208E-2</v>
      </c>
      <c r="P185" s="14">
        <v>36.07</v>
      </c>
      <c r="Q185" s="14">
        <f t="shared" si="38"/>
        <v>3.0571428571428472E-2</v>
      </c>
      <c r="R185" s="14">
        <v>302.58999999999997</v>
      </c>
      <c r="S185" s="14">
        <f t="shared" si="39"/>
        <v>0.15992640012266635</v>
      </c>
      <c r="T185" s="14">
        <v>65.400000000000006</v>
      </c>
      <c r="U185" s="14">
        <f t="shared" si="30"/>
        <v>-1.3723420298597411E-2</v>
      </c>
      <c r="V185" s="14">
        <v>70221.757813000004</v>
      </c>
      <c r="W185">
        <f t="shared" si="40"/>
        <v>7.3101489912034467E-2</v>
      </c>
      <c r="Z185">
        <f t="shared" si="41"/>
        <v>2.3605846808470207E-2</v>
      </c>
      <c r="AA185">
        <f t="shared" si="42"/>
        <v>2.0624487259167146E-2</v>
      </c>
      <c r="AB185">
        <f t="shared" si="43"/>
        <v>7.1628857142856913E-3</v>
      </c>
      <c r="AC185">
        <f t="shared" si="44"/>
        <v>-4.1815261649826314E-3</v>
      </c>
    </row>
    <row r="186" spans="1:29" x14ac:dyDescent="0.75">
      <c r="A186" s="1">
        <v>44377.041250000002</v>
      </c>
      <c r="B186" s="14">
        <v>43.89</v>
      </c>
      <c r="C186" s="14">
        <f t="shared" si="31"/>
        <v>9.1220068415043265E-4</v>
      </c>
      <c r="D186" s="14">
        <v>16.82</v>
      </c>
      <c r="E186" s="14">
        <f t="shared" si="32"/>
        <v>5.9488399762064326E-4</v>
      </c>
      <c r="F186" s="14">
        <v>128</v>
      </c>
      <c r="G186" s="14">
        <f t="shared" si="33"/>
        <v>5.7851239669421517E-2</v>
      </c>
      <c r="H186" s="14">
        <v>212.15</v>
      </c>
      <c r="I186" s="14">
        <f t="shared" si="34"/>
        <v>-1.3622838013762406E-2</v>
      </c>
      <c r="J186" s="14">
        <v>128.76</v>
      </c>
      <c r="K186" s="14">
        <f t="shared" si="35"/>
        <v>-6.3427407622926979E-2</v>
      </c>
      <c r="L186" s="14">
        <v>222.81</v>
      </c>
      <c r="M186" s="14">
        <f t="shared" si="36"/>
        <v>2.6584961297456688E-2</v>
      </c>
      <c r="N186" s="14">
        <v>45.41</v>
      </c>
      <c r="O186" s="14">
        <f t="shared" si="37"/>
        <v>1.1583871686344338E-2</v>
      </c>
      <c r="P186" s="14">
        <v>35.369999999999997</v>
      </c>
      <c r="Q186" s="14">
        <f t="shared" si="38"/>
        <v>-1.9406709176601145E-2</v>
      </c>
      <c r="R186" s="14">
        <v>275.16000000000003</v>
      </c>
      <c r="S186" s="14">
        <f t="shared" si="39"/>
        <v>-9.0650715489606237E-2</v>
      </c>
      <c r="T186" s="14">
        <v>65.069999999999993</v>
      </c>
      <c r="U186" s="14">
        <f t="shared" si="30"/>
        <v>-5.0458715596332082E-3</v>
      </c>
      <c r="V186" s="14">
        <v>70314.1875</v>
      </c>
      <c r="W186">
        <f t="shared" si="40"/>
        <v>-4.7848293524619723E-2</v>
      </c>
      <c r="Z186">
        <f t="shared" si="41"/>
        <v>-5.8102869897945324E-3</v>
      </c>
      <c r="AA186">
        <f t="shared" si="42"/>
        <v>2.7418203450335448E-4</v>
      </c>
      <c r="AB186">
        <f t="shared" si="43"/>
        <v>-4.5469919600776487E-3</v>
      </c>
      <c r="AC186">
        <f t="shared" si="44"/>
        <v>-1.5374770642202387E-3</v>
      </c>
    </row>
    <row r="187" spans="1:29" x14ac:dyDescent="0.75">
      <c r="A187" s="1">
        <v>44407.041250000002</v>
      </c>
      <c r="B187" s="14">
        <v>45.88</v>
      </c>
      <c r="C187" s="14">
        <f t="shared" si="31"/>
        <v>4.5340624287992792E-2</v>
      </c>
      <c r="D187" s="14">
        <v>16.239999999999998</v>
      </c>
      <c r="E187" s="14">
        <f t="shared" si="32"/>
        <v>-3.4482758620689724E-2</v>
      </c>
      <c r="F187" s="14">
        <v>126.6</v>
      </c>
      <c r="G187" s="14">
        <f t="shared" si="33"/>
        <v>-1.0937500000000044E-2</v>
      </c>
      <c r="H187" s="14">
        <v>228.96</v>
      </c>
      <c r="I187" s="14">
        <f t="shared" si="34"/>
        <v>7.923638934715993E-2</v>
      </c>
      <c r="J187" s="14">
        <v>129.05000000000001</v>
      </c>
      <c r="K187" s="14">
        <f t="shared" si="35"/>
        <v>2.2522522522523403E-3</v>
      </c>
      <c r="L187" s="14">
        <v>215.38</v>
      </c>
      <c r="M187" s="14">
        <f t="shared" si="36"/>
        <v>-3.3346797720030574E-2</v>
      </c>
      <c r="N187" s="14">
        <v>41.67</v>
      </c>
      <c r="O187" s="14">
        <f t="shared" si="37"/>
        <v>-8.2360713499229132E-2</v>
      </c>
      <c r="P187" s="14">
        <v>32.229999999999997</v>
      </c>
      <c r="Q187" s="14">
        <f t="shared" si="38"/>
        <v>-8.8775798699462838E-2</v>
      </c>
      <c r="R187" s="14">
        <v>280.7</v>
      </c>
      <c r="S187" s="14">
        <f t="shared" si="39"/>
        <v>2.013374036923965E-2</v>
      </c>
      <c r="T187" s="14">
        <v>65.62</v>
      </c>
      <c r="U187" s="14">
        <f t="shared" si="30"/>
        <v>8.4524358383282205E-3</v>
      </c>
      <c r="V187" s="14">
        <v>70023.390625</v>
      </c>
      <c r="W187">
        <f t="shared" si="40"/>
        <v>1.4293088103783935E-2</v>
      </c>
      <c r="Z187">
        <f t="shared" si="41"/>
        <v>-3.4117815883621429E-2</v>
      </c>
      <c r="AA187">
        <f t="shared" si="42"/>
        <v>-1.5893103448275894E-2</v>
      </c>
      <c r="AB187">
        <f t="shared" si="43"/>
        <v>-2.0800169635284145E-2</v>
      </c>
      <c r="AC187">
        <f t="shared" si="44"/>
        <v>2.5754571999386088E-3</v>
      </c>
    </row>
    <row r="188" spans="1:29" x14ac:dyDescent="0.75">
      <c r="A188" s="1">
        <v>44439.041250000002</v>
      </c>
      <c r="B188" s="14">
        <v>50.82</v>
      </c>
      <c r="C188" s="14">
        <f t="shared" si="31"/>
        <v>0.10767218831734948</v>
      </c>
      <c r="D188" s="14">
        <v>16.5</v>
      </c>
      <c r="E188" s="14">
        <f t="shared" si="32"/>
        <v>1.6009852216748888E-2</v>
      </c>
      <c r="F188" s="14">
        <v>126.01</v>
      </c>
      <c r="G188" s="14">
        <f t="shared" si="33"/>
        <v>-4.6603475513427028E-3</v>
      </c>
      <c r="H188" s="14">
        <v>233.88</v>
      </c>
      <c r="I188" s="14">
        <f t="shared" si="34"/>
        <v>2.1488469601677052E-2</v>
      </c>
      <c r="J188" s="14">
        <v>132.58000000000001</v>
      </c>
      <c r="K188" s="14">
        <f t="shared" si="35"/>
        <v>2.735373886090664E-2</v>
      </c>
      <c r="L188" s="14">
        <v>229.37</v>
      </c>
      <c r="M188" s="14">
        <f t="shared" si="36"/>
        <v>6.4954963320642545E-2</v>
      </c>
      <c r="N188" s="14">
        <v>43.53</v>
      </c>
      <c r="O188" s="14">
        <f t="shared" si="37"/>
        <v>4.4636429085673113E-2</v>
      </c>
      <c r="P188" s="14">
        <v>35.47</v>
      </c>
      <c r="Q188" s="14">
        <f t="shared" si="38"/>
        <v>0.10052745888923376</v>
      </c>
      <c r="R188" s="14">
        <v>284.58999999999997</v>
      </c>
      <c r="S188" s="14">
        <f t="shared" si="39"/>
        <v>1.3858211613822613E-2</v>
      </c>
      <c r="T188" s="14">
        <v>71.459999999999994</v>
      </c>
      <c r="U188" s="14">
        <f t="shared" si="30"/>
        <v>8.8997256933861513E-2</v>
      </c>
      <c r="V188" s="14">
        <v>69595.132813000004</v>
      </c>
      <c r="W188">
        <f t="shared" si="40"/>
        <v>5.1427734273842063E-2</v>
      </c>
      <c r="Z188">
        <f t="shared" si="41"/>
        <v>5.8049988692194639E-2</v>
      </c>
      <c r="AA188">
        <f t="shared" si="42"/>
        <v>7.3789408866995624E-3</v>
      </c>
      <c r="AB188">
        <f t="shared" si="43"/>
        <v>2.3553583617747471E-2</v>
      </c>
      <c r="AC188">
        <f t="shared" si="44"/>
        <v>2.7117464187747607E-2</v>
      </c>
    </row>
    <row r="189" spans="1:29" x14ac:dyDescent="0.75">
      <c r="A189" s="1">
        <v>44469.041250000002</v>
      </c>
      <c r="B189" s="14">
        <v>58.04</v>
      </c>
      <c r="C189" s="14">
        <f t="shared" si="31"/>
        <v>0.14207005116096028</v>
      </c>
      <c r="D189" s="14">
        <v>14.89</v>
      </c>
      <c r="E189" s="14">
        <f t="shared" si="32"/>
        <v>-9.7575757575757538E-2</v>
      </c>
      <c r="F189" s="14">
        <v>133</v>
      </c>
      <c r="G189" s="14">
        <f t="shared" si="33"/>
        <v>5.5471787953337071E-2</v>
      </c>
      <c r="H189" s="14">
        <v>239.99</v>
      </c>
      <c r="I189" s="14">
        <f t="shared" si="34"/>
        <v>2.6124508294852022E-2</v>
      </c>
      <c r="J189" s="14">
        <v>132.57</v>
      </c>
      <c r="K189" s="14">
        <f t="shared" si="35"/>
        <v>-7.5426157791658177E-5</v>
      </c>
      <c r="L189" s="14">
        <v>236.3</v>
      </c>
      <c r="M189" s="14">
        <f t="shared" si="36"/>
        <v>3.0213192658150589E-2</v>
      </c>
      <c r="N189" s="14">
        <v>41.78</v>
      </c>
      <c r="O189" s="14">
        <f t="shared" si="37"/>
        <v>-4.0202159430277939E-2</v>
      </c>
      <c r="P189" s="14">
        <v>33.99</v>
      </c>
      <c r="Q189" s="14">
        <f t="shared" si="38"/>
        <v>-4.1725401747955915E-2</v>
      </c>
      <c r="R189" s="14">
        <v>243.3</v>
      </c>
      <c r="S189" s="14">
        <f t="shared" si="39"/>
        <v>-0.14508591306792218</v>
      </c>
      <c r="T189" s="14">
        <v>70.13</v>
      </c>
      <c r="U189" s="14">
        <f t="shared" si="30"/>
        <v>-1.8611810803246587E-2</v>
      </c>
      <c r="V189" s="14">
        <v>68941.460938000004</v>
      </c>
      <c r="W189">
        <f t="shared" si="40"/>
        <v>-8.1848861935584383E-2</v>
      </c>
      <c r="Z189">
        <f t="shared" si="41"/>
        <v>-6.0419947047961955E-2</v>
      </c>
      <c r="AA189">
        <f t="shared" si="42"/>
        <v>-4.4972666666666647E-2</v>
      </c>
      <c r="AB189">
        <f t="shared" si="43"/>
        <v>-9.7762616295460712E-3</v>
      </c>
      <c r="AC189">
        <f t="shared" si="44"/>
        <v>-5.6710187517492357E-3</v>
      </c>
    </row>
    <row r="190" spans="1:29" x14ac:dyDescent="0.75">
      <c r="A190" s="1">
        <v>44498.041250000002</v>
      </c>
      <c r="B190" s="14">
        <v>60.94</v>
      </c>
      <c r="C190" s="14">
        <f t="shared" si="31"/>
        <v>4.9965541006202541E-2</v>
      </c>
      <c r="D190" s="14">
        <v>13.24</v>
      </c>
      <c r="E190" s="14">
        <f t="shared" si="32"/>
        <v>-0.11081262592343855</v>
      </c>
      <c r="F190" s="14">
        <v>134.18</v>
      </c>
      <c r="G190" s="14">
        <f t="shared" si="33"/>
        <v>8.8721804511278091E-3</v>
      </c>
      <c r="H190" s="14">
        <v>259.52999999999997</v>
      </c>
      <c r="I190" s="14">
        <f t="shared" si="34"/>
        <v>8.1420059169131864E-2</v>
      </c>
      <c r="J190" s="14">
        <v>130.35</v>
      </c>
      <c r="K190" s="14">
        <f t="shared" si="35"/>
        <v>-1.6745870106358862E-2</v>
      </c>
      <c r="L190" s="14">
        <v>241.75</v>
      </c>
      <c r="M190" s="14">
        <f t="shared" si="36"/>
        <v>2.3063901819720733E-2</v>
      </c>
      <c r="N190" s="14">
        <v>37.86</v>
      </c>
      <c r="O190" s="14">
        <f t="shared" si="37"/>
        <v>-9.3824796553374834E-2</v>
      </c>
      <c r="P190" s="14">
        <v>32.57</v>
      </c>
      <c r="Q190" s="14">
        <f t="shared" si="38"/>
        <v>-4.1776993233303972E-2</v>
      </c>
      <c r="R190" s="14">
        <v>263.99</v>
      </c>
      <c r="S190" s="14">
        <f t="shared" si="39"/>
        <v>8.503904644471838E-2</v>
      </c>
      <c r="T190" s="14">
        <v>71.81</v>
      </c>
      <c r="U190" s="14">
        <f t="shared" si="30"/>
        <v>2.3955511193497925E-2</v>
      </c>
      <c r="V190" s="14">
        <v>69634.710938000004</v>
      </c>
      <c r="W190">
        <f t="shared" si="40"/>
        <v>5.4497278819108153E-2</v>
      </c>
      <c r="Z190">
        <f t="shared" si="41"/>
        <v>-5.3562644542017132E-2</v>
      </c>
      <c r="AA190">
        <f t="shared" si="42"/>
        <v>-5.1073539288112826E-2</v>
      </c>
      <c r="AB190">
        <f t="shared" si="43"/>
        <v>-9.7883495145631213E-3</v>
      </c>
      <c r="AC190">
        <f t="shared" si="44"/>
        <v>7.2992442606588182E-3</v>
      </c>
    </row>
    <row r="191" spans="1:29" x14ac:dyDescent="0.75">
      <c r="A191" s="1">
        <v>44530.041250000002</v>
      </c>
      <c r="B191" s="14">
        <v>56.22</v>
      </c>
      <c r="C191" s="14">
        <f t="shared" si="31"/>
        <v>-7.7453232687889728E-2</v>
      </c>
      <c r="D191" s="14">
        <v>13.3</v>
      </c>
      <c r="E191" s="14">
        <f t="shared" si="32"/>
        <v>4.5317220543807935E-3</v>
      </c>
      <c r="F191" s="14">
        <v>140</v>
      </c>
      <c r="G191" s="14">
        <f t="shared" si="33"/>
        <v>4.3374571471158196E-2</v>
      </c>
      <c r="H191" s="14">
        <v>247.69</v>
      </c>
      <c r="I191" s="14">
        <f t="shared" si="34"/>
        <v>-4.5620930142950655E-2</v>
      </c>
      <c r="J191" s="14">
        <v>128.13</v>
      </c>
      <c r="K191" s="14">
        <f t="shared" si="35"/>
        <v>-1.7031070195627107E-2</v>
      </c>
      <c r="L191" s="14">
        <v>259.91000000000003</v>
      </c>
      <c r="M191" s="14">
        <f t="shared" si="36"/>
        <v>7.5118924508790208E-2</v>
      </c>
      <c r="N191" s="14">
        <v>37.590000000000003</v>
      </c>
      <c r="O191" s="14">
        <f t="shared" si="37"/>
        <v>-7.1315372424721746E-3</v>
      </c>
      <c r="P191" s="14">
        <v>33.67</v>
      </c>
      <c r="Q191" s="14">
        <f t="shared" si="38"/>
        <v>3.37734111145227E-2</v>
      </c>
      <c r="R191" s="14">
        <v>262.89</v>
      </c>
      <c r="S191" s="14">
        <f t="shared" si="39"/>
        <v>-4.1668245009282012E-3</v>
      </c>
      <c r="T191" s="14">
        <v>67.38</v>
      </c>
      <c r="U191" s="14">
        <f t="shared" si="30"/>
        <v>-6.1690572343684802E-2</v>
      </c>
      <c r="V191" s="14">
        <v>69095.023438000004</v>
      </c>
      <c r="W191">
        <f t="shared" si="40"/>
        <v>-3.2928698422306502E-2</v>
      </c>
      <c r="Z191">
        <f t="shared" si="41"/>
        <v>-8.7953364741239839E-3</v>
      </c>
      <c r="AA191">
        <f t="shared" si="42"/>
        <v>2.0886706948641076E-3</v>
      </c>
      <c r="AB191">
        <f t="shared" si="43"/>
        <v>7.9131102241326683E-3</v>
      </c>
      <c r="AC191">
        <f t="shared" si="44"/>
        <v>-1.879711739312076E-2</v>
      </c>
    </row>
    <row r="192" spans="1:29" x14ac:dyDescent="0.75">
      <c r="A192" s="1">
        <v>44561.041250000002</v>
      </c>
      <c r="B192" s="14">
        <v>62.97</v>
      </c>
      <c r="C192" s="14">
        <f t="shared" si="31"/>
        <v>0.12006403415154754</v>
      </c>
      <c r="D192" s="14">
        <v>13.99</v>
      </c>
      <c r="E192" s="14">
        <f t="shared" si="32"/>
        <v>5.1879699248120303E-2</v>
      </c>
      <c r="F192" s="14">
        <v>129.88</v>
      </c>
      <c r="G192" s="14">
        <f t="shared" si="33"/>
        <v>-7.2285714285714286E-2</v>
      </c>
      <c r="H192" s="14">
        <v>282.16000000000003</v>
      </c>
      <c r="I192" s="14">
        <f t="shared" si="34"/>
        <v>0.13916589284993353</v>
      </c>
      <c r="J192" s="14">
        <v>133.02000000000001</v>
      </c>
      <c r="K192" s="14">
        <f t="shared" si="35"/>
        <v>3.8164364317490262E-2</v>
      </c>
      <c r="L192" s="14">
        <v>262.52</v>
      </c>
      <c r="M192" s="14">
        <f t="shared" si="36"/>
        <v>1.0041937593782357E-2</v>
      </c>
      <c r="N192" s="14">
        <v>40.479999999999997</v>
      </c>
      <c r="O192" s="14">
        <f t="shared" si="37"/>
        <v>7.6882149507847553E-2</v>
      </c>
      <c r="P192" s="14">
        <v>31.01</v>
      </c>
      <c r="Q192" s="14">
        <f t="shared" si="38"/>
        <v>-7.9002079002079006E-2</v>
      </c>
      <c r="R192" s="14">
        <v>235.56</v>
      </c>
      <c r="S192" s="14">
        <f t="shared" si="39"/>
        <v>-0.10395983110806795</v>
      </c>
      <c r="T192" s="14">
        <v>76.09</v>
      </c>
      <c r="U192" s="14">
        <f t="shared" si="30"/>
        <v>0.12926684476105677</v>
      </c>
      <c r="V192" s="14">
        <v>69825.9375</v>
      </c>
      <c r="W192">
        <f t="shared" si="40"/>
        <v>1.2653506826494409E-2</v>
      </c>
      <c r="Z192">
        <f t="shared" si="41"/>
        <v>4.4788773871965538E-2</v>
      </c>
      <c r="AA192">
        <f t="shared" si="42"/>
        <v>2.3911353383458647E-2</v>
      </c>
      <c r="AB192">
        <f t="shared" si="43"/>
        <v>-1.851018711018711E-2</v>
      </c>
      <c r="AC192">
        <f t="shared" si="44"/>
        <v>3.9387607598694002E-2</v>
      </c>
    </row>
    <row r="193" spans="1:29" x14ac:dyDescent="0.75">
      <c r="A193" s="1">
        <v>44592.041250000002</v>
      </c>
      <c r="B193" s="14">
        <v>64.59</v>
      </c>
      <c r="C193" s="14">
        <f t="shared" si="31"/>
        <v>2.5726536445926707E-2</v>
      </c>
      <c r="D193" s="14">
        <v>12.6</v>
      </c>
      <c r="E193" s="14">
        <f t="shared" si="32"/>
        <v>-9.935668334524661E-2</v>
      </c>
      <c r="F193" s="14">
        <v>129</v>
      </c>
      <c r="G193" s="14">
        <f t="shared" si="33"/>
        <v>-6.7754850631351893E-3</v>
      </c>
      <c r="H193" s="14">
        <v>283.61</v>
      </c>
      <c r="I193" s="14">
        <f t="shared" si="34"/>
        <v>5.1389282676495007E-3</v>
      </c>
      <c r="J193" s="14">
        <v>130.74</v>
      </c>
      <c r="K193" s="14">
        <f t="shared" si="35"/>
        <v>-1.7140279657194446E-2</v>
      </c>
      <c r="L193" s="14">
        <v>269.8</v>
      </c>
      <c r="M193" s="14">
        <f t="shared" si="36"/>
        <v>2.77312204784399E-2</v>
      </c>
      <c r="N193" s="14">
        <v>34.1</v>
      </c>
      <c r="O193" s="14">
        <f t="shared" si="37"/>
        <v>-0.15760869565217384</v>
      </c>
      <c r="P193" s="14">
        <v>29.8</v>
      </c>
      <c r="Q193" s="14">
        <f t="shared" si="38"/>
        <v>-3.9019671073847184E-2</v>
      </c>
      <c r="R193" s="14">
        <v>220.99</v>
      </c>
      <c r="S193" s="14">
        <f t="shared" si="39"/>
        <v>-6.1852606554593237E-2</v>
      </c>
      <c r="T193" s="14">
        <v>70.14</v>
      </c>
      <c r="U193" s="14">
        <f t="shared" si="30"/>
        <v>-7.8196872125115058E-2</v>
      </c>
      <c r="V193" s="14">
        <v>70083.726563000004</v>
      </c>
      <c r="W193">
        <f t="shared" si="40"/>
        <v>-7.0024739339854147E-2</v>
      </c>
      <c r="Z193">
        <f t="shared" si="41"/>
        <v>-7.8762391222949119E-2</v>
      </c>
      <c r="AA193">
        <f t="shared" si="42"/>
        <v>-4.5793495353824161E-2</v>
      </c>
      <c r="AB193">
        <f t="shared" si="43"/>
        <v>-9.1423089326023964E-3</v>
      </c>
      <c r="AC193">
        <f t="shared" si="44"/>
        <v>-2.3826586936522561E-2</v>
      </c>
    </row>
    <row r="194" spans="1:29" x14ac:dyDescent="0.75">
      <c r="A194" s="1">
        <v>44620.041250000002</v>
      </c>
      <c r="B194" s="14">
        <v>63.07</v>
      </c>
      <c r="C194" s="14">
        <f t="shared" si="31"/>
        <v>-2.3533054652423058E-2</v>
      </c>
      <c r="D194" s="14">
        <v>10.52</v>
      </c>
      <c r="E194" s="14">
        <f t="shared" si="32"/>
        <v>-0.16507936507936505</v>
      </c>
      <c r="F194" s="14">
        <v>124.7</v>
      </c>
      <c r="G194" s="14">
        <f t="shared" si="33"/>
        <v>-3.3333333333333326E-2</v>
      </c>
      <c r="H194" s="14">
        <v>297.91000000000003</v>
      </c>
      <c r="I194" s="14">
        <f t="shared" si="34"/>
        <v>5.0421353266810076E-2</v>
      </c>
      <c r="J194" s="14">
        <v>138.54</v>
      </c>
      <c r="K194" s="14">
        <f t="shared" si="35"/>
        <v>5.9660394676456896E-2</v>
      </c>
      <c r="L194" s="14">
        <v>277.77</v>
      </c>
      <c r="M194" s="14">
        <f t="shared" si="36"/>
        <v>2.9540400296515834E-2</v>
      </c>
      <c r="N194" s="14">
        <v>28.92</v>
      </c>
      <c r="O194" s="14">
        <f t="shared" si="37"/>
        <v>-0.15190615835777121</v>
      </c>
      <c r="P194" s="14">
        <v>28.74</v>
      </c>
      <c r="Q194" s="14">
        <f t="shared" si="38"/>
        <v>-3.5570469798657744E-2</v>
      </c>
      <c r="R194" s="14">
        <v>255.62</v>
      </c>
      <c r="S194" s="14">
        <f t="shared" si="39"/>
        <v>0.15670392325444582</v>
      </c>
      <c r="T194" s="14">
        <v>77.900000000000006</v>
      </c>
      <c r="U194" s="14">
        <f t="shared" ref="U194:U246" si="45">+T194/T193-1</f>
        <v>0.11063587111491313</v>
      </c>
      <c r="V194" s="14">
        <v>68809.171875</v>
      </c>
      <c r="W194">
        <f t="shared" si="40"/>
        <v>0.13366989718467948</v>
      </c>
      <c r="Z194">
        <f t="shared" si="41"/>
        <v>-5.0708490510190815E-2</v>
      </c>
      <c r="AA194">
        <f t="shared" si="42"/>
        <v>-7.6085079365079342E-2</v>
      </c>
      <c r="AB194">
        <f t="shared" si="43"/>
        <v>-8.3341610738255096E-3</v>
      </c>
      <c r="AC194">
        <f t="shared" si="44"/>
        <v>3.3710749928714034E-2</v>
      </c>
    </row>
    <row r="195" spans="1:29" x14ac:dyDescent="0.75">
      <c r="A195" s="1">
        <v>44651.041250000002</v>
      </c>
      <c r="B195" s="14">
        <v>60.06</v>
      </c>
      <c r="C195" s="14">
        <f t="shared" ref="C195:C246" si="46">+B195/B194-1</f>
        <v>-4.7724750277469474E-2</v>
      </c>
      <c r="D195" s="14">
        <v>10.69</v>
      </c>
      <c r="E195" s="14">
        <f t="shared" ref="E195:E246" si="47">+D195/D194-1</f>
        <v>1.6159695817490549E-2</v>
      </c>
      <c r="F195" s="14">
        <v>123.85</v>
      </c>
      <c r="G195" s="14">
        <f t="shared" ref="G195:G246" si="48">+F195/F194-1</f>
        <v>-6.8163592622294544E-3</v>
      </c>
      <c r="H195" s="14">
        <v>322.61</v>
      </c>
      <c r="I195" s="14">
        <f t="shared" ref="I195:I246" si="49">+H195/H194-1</f>
        <v>8.2910946258937246E-2</v>
      </c>
      <c r="J195" s="14">
        <v>149.55000000000001</v>
      </c>
      <c r="K195" s="14">
        <f t="shared" ref="K195:K246" si="50">+J195/J194-1</f>
        <v>7.9471632741446641E-2</v>
      </c>
      <c r="L195" s="14">
        <v>250.15</v>
      </c>
      <c r="M195" s="14">
        <f t="shared" ref="M195:M246" si="51">+L195/L194-1</f>
        <v>-9.9434784173956792E-2</v>
      </c>
      <c r="N195" s="14">
        <v>31.35</v>
      </c>
      <c r="O195" s="14">
        <f t="shared" ref="O195:O246" si="52">+N195/N194-1</f>
        <v>8.402489626556009E-2</v>
      </c>
      <c r="P195" s="14">
        <v>27.98</v>
      </c>
      <c r="Q195" s="14">
        <f t="shared" ref="Q195:Q246" si="53">+P195/P194-1</f>
        <v>-2.6443980514961662E-2</v>
      </c>
      <c r="R195" s="14">
        <v>251.29</v>
      </c>
      <c r="S195" s="14">
        <f t="shared" ref="S195:S246" si="54">+R195/R194-1</f>
        <v>-1.6939206634848603E-2</v>
      </c>
      <c r="T195" s="14">
        <v>81.92</v>
      </c>
      <c r="U195" s="14">
        <f t="shared" si="45"/>
        <v>5.1604621309370824E-2</v>
      </c>
      <c r="V195" s="14">
        <v>68836.921875</v>
      </c>
      <c r="W195">
        <f t="shared" si="40"/>
        <v>1.7332707337261111E-2</v>
      </c>
      <c r="Z195">
        <f t="shared" si="41"/>
        <v>1.6976107280591169E-2</v>
      </c>
      <c r="AA195">
        <f t="shared" si="42"/>
        <v>7.448003802281394E-3</v>
      </c>
      <c r="AB195">
        <f t="shared" si="43"/>
        <v>-6.1958246346555173E-3</v>
      </c>
      <c r="AC195">
        <f t="shared" si="44"/>
        <v>1.5723928112965291E-2</v>
      </c>
    </row>
    <row r="196" spans="1:29" x14ac:dyDescent="0.75">
      <c r="A196" s="1">
        <v>44680.041250000002</v>
      </c>
      <c r="B196" s="14">
        <v>62.9</v>
      </c>
      <c r="C196" s="14">
        <f t="shared" si="46"/>
        <v>4.7286047286047239E-2</v>
      </c>
      <c r="D196" s="14">
        <v>8.98</v>
      </c>
      <c r="E196" s="14">
        <f t="shared" si="47"/>
        <v>-0.15996258185219825</v>
      </c>
      <c r="F196" s="14">
        <v>129</v>
      </c>
      <c r="G196" s="14">
        <f t="shared" si="48"/>
        <v>4.158255954784007E-2</v>
      </c>
      <c r="H196" s="14">
        <v>314.02999999999997</v>
      </c>
      <c r="I196" s="14">
        <f t="shared" si="49"/>
        <v>-2.6595579802238145E-2</v>
      </c>
      <c r="J196" s="14">
        <v>134.71</v>
      </c>
      <c r="K196" s="14">
        <f t="shared" si="50"/>
        <v>-9.9231026412571088E-2</v>
      </c>
      <c r="L196" s="14">
        <v>242.39</v>
      </c>
      <c r="M196" s="14">
        <f t="shared" si="51"/>
        <v>-3.1021387167699421E-2</v>
      </c>
      <c r="N196" s="14">
        <v>30.62</v>
      </c>
      <c r="O196" s="14">
        <f t="shared" si="52"/>
        <v>-2.3285486443381243E-2</v>
      </c>
      <c r="P196" s="14">
        <v>28.49</v>
      </c>
      <c r="Q196" s="14">
        <f t="shared" si="53"/>
        <v>1.8227305218012857E-2</v>
      </c>
      <c r="R196" s="14">
        <v>224.71</v>
      </c>
      <c r="S196" s="14">
        <f t="shared" si="54"/>
        <v>-0.10577420510167534</v>
      </c>
      <c r="T196" s="14">
        <v>72.16</v>
      </c>
      <c r="U196" s="14">
        <f t="shared" si="45"/>
        <v>-0.11914062500000011</v>
      </c>
      <c r="V196" s="14">
        <v>68631.15625</v>
      </c>
      <c r="W196">
        <f t="shared" ref="W196:W247" si="55">S196*$X$2+U196*$Y$2</f>
        <v>-0.11245741505083773</v>
      </c>
      <c r="Z196">
        <f t="shared" ref="Z196:Z252" si="56">SUM(AA196:AC196)</f>
        <v>-0.10575824480059778</v>
      </c>
      <c r="AA196">
        <f t="shared" ref="AA196:AA252" si="57">$AA$2*E196</f>
        <v>-7.3726753975678169E-2</v>
      </c>
      <c r="AB196">
        <f t="shared" ref="AB196:AB252" si="58">$AB$2*Q196</f>
        <v>4.2706576125804124E-3</v>
      </c>
      <c r="AC196">
        <f t="shared" ref="AC196:AC252" si="59">$AC$2*U196</f>
        <v>-3.6302148437500036E-2</v>
      </c>
    </row>
    <row r="197" spans="1:29" x14ac:dyDescent="0.75">
      <c r="A197" s="1">
        <v>44712.041250000002</v>
      </c>
      <c r="B197" s="14">
        <v>64.72</v>
      </c>
      <c r="C197" s="14">
        <f t="shared" si="46"/>
        <v>2.8934817170111371E-2</v>
      </c>
      <c r="D197" s="14">
        <v>9.26</v>
      </c>
      <c r="E197" s="14">
        <f t="shared" si="47"/>
        <v>3.1180400890868487E-2</v>
      </c>
      <c r="F197" s="14">
        <v>129</v>
      </c>
      <c r="G197" s="14">
        <f t="shared" si="48"/>
        <v>0</v>
      </c>
      <c r="H197" s="14">
        <v>295.45999999999998</v>
      </c>
      <c r="I197" s="14">
        <f t="shared" si="49"/>
        <v>-5.9134477597681756E-2</v>
      </c>
      <c r="J197" s="14">
        <v>127.59</v>
      </c>
      <c r="K197" s="14">
        <f t="shared" si="50"/>
        <v>-5.2854279563506856E-2</v>
      </c>
      <c r="L197" s="14">
        <v>233.86</v>
      </c>
      <c r="M197" s="14">
        <f t="shared" si="51"/>
        <v>-3.5191220759932196E-2</v>
      </c>
      <c r="N197" s="14">
        <v>30.09</v>
      </c>
      <c r="O197" s="14">
        <f t="shared" si="52"/>
        <v>-1.7308948399738733E-2</v>
      </c>
      <c r="P197" s="14">
        <v>30.47</v>
      </c>
      <c r="Q197" s="14">
        <f t="shared" si="53"/>
        <v>6.9498069498069581E-2</v>
      </c>
      <c r="R197" s="14">
        <v>231.45</v>
      </c>
      <c r="S197" s="14">
        <f t="shared" si="54"/>
        <v>2.9994214765697969E-2</v>
      </c>
      <c r="T197" s="14">
        <v>72.77</v>
      </c>
      <c r="U197" s="14">
        <f t="shared" si="45"/>
        <v>8.4534368070954269E-3</v>
      </c>
      <c r="V197" s="14">
        <v>69230.5625</v>
      </c>
      <c r="W197">
        <f t="shared" si="55"/>
        <v>1.9223825786396698E-2</v>
      </c>
      <c r="Z197">
        <f t="shared" si="56"/>
        <v>3.3230206649120964E-2</v>
      </c>
      <c r="AA197">
        <f t="shared" si="57"/>
        <v>1.4371046770601284E-2</v>
      </c>
      <c r="AB197">
        <f t="shared" si="58"/>
        <v>1.6283397683397705E-2</v>
      </c>
      <c r="AC197">
        <f t="shared" si="59"/>
        <v>2.5757621951219768E-3</v>
      </c>
    </row>
    <row r="198" spans="1:29" x14ac:dyDescent="0.75">
      <c r="A198" s="1">
        <v>44742.041250000002</v>
      </c>
      <c r="B198" s="14">
        <v>65.37</v>
      </c>
      <c r="C198" s="14">
        <f t="shared" si="46"/>
        <v>1.0043263288010085E-2</v>
      </c>
      <c r="D198" s="14">
        <v>7.83</v>
      </c>
      <c r="E198" s="14">
        <f t="shared" si="47"/>
        <v>-0.1544276457883369</v>
      </c>
      <c r="F198" s="14">
        <v>119.48</v>
      </c>
      <c r="G198" s="14">
        <f t="shared" si="48"/>
        <v>-7.3798449612403116E-2</v>
      </c>
      <c r="H198" s="14">
        <v>280.08999999999997</v>
      </c>
      <c r="I198" s="14">
        <f t="shared" si="49"/>
        <v>-5.2020578081635405E-2</v>
      </c>
      <c r="J198" s="14">
        <v>112.17</v>
      </c>
      <c r="K198" s="14">
        <f t="shared" si="50"/>
        <v>-0.12085586644721369</v>
      </c>
      <c r="L198" s="14">
        <v>222.55</v>
      </c>
      <c r="M198" s="14">
        <f t="shared" si="51"/>
        <v>-4.8362268023603883E-2</v>
      </c>
      <c r="N198" s="14">
        <v>26.7</v>
      </c>
      <c r="O198" s="14">
        <f t="shared" si="52"/>
        <v>-0.1126620139581257</v>
      </c>
      <c r="P198" s="14">
        <v>27.23</v>
      </c>
      <c r="Q198" s="14">
        <f t="shared" si="53"/>
        <v>-0.10633409911388247</v>
      </c>
      <c r="R198" s="14">
        <v>186.2</v>
      </c>
      <c r="S198" s="14">
        <f t="shared" si="54"/>
        <v>-0.19550658889608985</v>
      </c>
      <c r="T198" s="14">
        <v>69.33</v>
      </c>
      <c r="U198" s="14">
        <f t="shared" si="45"/>
        <v>-4.7272227566304781E-2</v>
      </c>
      <c r="V198" s="14">
        <v>67992.359375</v>
      </c>
      <c r="W198">
        <f t="shared" si="55"/>
        <v>-0.12138940823119732</v>
      </c>
      <c r="Z198">
        <f t="shared" si="56"/>
        <v>-0.1104936291056802</v>
      </c>
      <c r="AA198">
        <f t="shared" si="57"/>
        <v>-7.1175701943844469E-2</v>
      </c>
      <c r="AB198">
        <f t="shared" si="58"/>
        <v>-2.4914079422382666E-2</v>
      </c>
      <c r="AC198">
        <f t="shared" si="59"/>
        <v>-1.4403847739453067E-2</v>
      </c>
    </row>
    <row r="199" spans="1:29" x14ac:dyDescent="0.75">
      <c r="A199" s="1">
        <v>44771.041250000002</v>
      </c>
      <c r="B199" s="14">
        <v>72.040000000000006</v>
      </c>
      <c r="C199" s="14">
        <f t="shared" si="46"/>
        <v>0.10203457243383807</v>
      </c>
      <c r="D199" s="14">
        <v>8.23</v>
      </c>
      <c r="E199" s="14">
        <f t="shared" si="47"/>
        <v>5.1085568326947772E-2</v>
      </c>
      <c r="F199" s="14">
        <v>115.69</v>
      </c>
      <c r="G199" s="14">
        <f t="shared" si="48"/>
        <v>-3.1720790090391748E-2</v>
      </c>
      <c r="H199" s="14">
        <v>276.39999999999998</v>
      </c>
      <c r="I199" s="14">
        <f t="shared" si="49"/>
        <v>-1.3174336820307775E-2</v>
      </c>
      <c r="J199" s="14">
        <v>115.99</v>
      </c>
      <c r="K199" s="14">
        <f t="shared" si="50"/>
        <v>3.4055451546759263E-2</v>
      </c>
      <c r="L199" s="14">
        <v>253.49</v>
      </c>
      <c r="M199" s="14">
        <f t="shared" si="51"/>
        <v>0.13902493821613127</v>
      </c>
      <c r="N199" s="14">
        <v>30.68</v>
      </c>
      <c r="O199" s="14">
        <f t="shared" si="52"/>
        <v>0.14906367041198498</v>
      </c>
      <c r="P199" s="14">
        <v>30.02</v>
      </c>
      <c r="Q199" s="14">
        <f t="shared" si="53"/>
        <v>0.10246052148365781</v>
      </c>
      <c r="R199" s="14">
        <v>205.08</v>
      </c>
      <c r="S199" s="14">
        <f t="shared" si="54"/>
        <v>0.10139634801288944</v>
      </c>
      <c r="T199" s="14">
        <v>73.84</v>
      </c>
      <c r="U199" s="14">
        <f t="shared" si="45"/>
        <v>6.5051204384826367E-2</v>
      </c>
      <c r="V199" s="14">
        <v>67269.289063000004</v>
      </c>
      <c r="W199">
        <f t="shared" si="55"/>
        <v>8.3223776198857902E-2</v>
      </c>
      <c r="Z199">
        <f t="shared" si="56"/>
        <v>6.7372940601567843E-2</v>
      </c>
      <c r="AA199">
        <f t="shared" si="57"/>
        <v>2.3545338441890228E-2</v>
      </c>
      <c r="AB199">
        <f t="shared" si="58"/>
        <v>2.4006500183621025E-2</v>
      </c>
      <c r="AC199">
        <f t="shared" si="59"/>
        <v>1.9821101976056594E-2</v>
      </c>
    </row>
    <row r="200" spans="1:29" x14ac:dyDescent="0.75">
      <c r="A200" s="1">
        <v>44804.041250000002</v>
      </c>
      <c r="B200" s="14">
        <v>66.22</v>
      </c>
      <c r="C200" s="14">
        <f t="shared" si="46"/>
        <v>-8.0788450860633132E-2</v>
      </c>
      <c r="D200" s="14">
        <v>7.47</v>
      </c>
      <c r="E200" s="14">
        <f t="shared" si="47"/>
        <v>-9.2345078979343964E-2</v>
      </c>
      <c r="F200" s="14">
        <v>109.16</v>
      </c>
      <c r="G200" s="14">
        <f t="shared" si="48"/>
        <v>-5.6443945025499209E-2</v>
      </c>
      <c r="H200" s="14">
        <v>286.83999999999997</v>
      </c>
      <c r="I200" s="14">
        <f t="shared" si="49"/>
        <v>3.777134587554265E-2</v>
      </c>
      <c r="J200" s="14">
        <v>118.98</v>
      </c>
      <c r="K200" s="14">
        <f t="shared" si="50"/>
        <v>2.5778084317613637E-2</v>
      </c>
      <c r="L200" s="14">
        <v>219.53</v>
      </c>
      <c r="M200" s="14">
        <f t="shared" si="51"/>
        <v>-0.13396978184543773</v>
      </c>
      <c r="N200" s="14">
        <v>31.73</v>
      </c>
      <c r="O200" s="14">
        <f t="shared" si="52"/>
        <v>3.4224250325945338E-2</v>
      </c>
      <c r="P200" s="14">
        <v>27.29</v>
      </c>
      <c r="Q200" s="14">
        <f t="shared" si="53"/>
        <v>-9.093937375083283E-2</v>
      </c>
      <c r="R200" s="14">
        <v>165.59</v>
      </c>
      <c r="S200" s="14">
        <f t="shared" si="54"/>
        <v>-0.19255900136532089</v>
      </c>
      <c r="T200" s="14">
        <v>65.84</v>
      </c>
      <c r="U200" s="14">
        <f t="shared" si="45"/>
        <v>-0.10834236186348867</v>
      </c>
      <c r="V200" s="14">
        <v>67097.0625</v>
      </c>
      <c r="W200">
        <f t="shared" si="55"/>
        <v>-0.15045068161440478</v>
      </c>
      <c r="Z200">
        <f t="shared" si="56"/>
        <v>-9.6880859831204758E-2</v>
      </c>
      <c r="AA200">
        <f t="shared" si="57"/>
        <v>-4.2561846901579631E-2</v>
      </c>
      <c r="AB200">
        <f t="shared" si="58"/>
        <v>-2.1307095269820133E-2</v>
      </c>
      <c r="AC200">
        <f t="shared" si="59"/>
        <v>-3.3011917659804997E-2</v>
      </c>
    </row>
    <row r="201" spans="1:29" x14ac:dyDescent="0.75">
      <c r="A201" s="1">
        <v>44834.041250000002</v>
      </c>
      <c r="B201" s="14">
        <v>70.97</v>
      </c>
      <c r="C201" s="14">
        <f t="shared" si="46"/>
        <v>7.173059498640888E-2</v>
      </c>
      <c r="D201" s="14">
        <v>6.94</v>
      </c>
      <c r="E201" s="14">
        <f t="shared" si="47"/>
        <v>-7.095046854082987E-2</v>
      </c>
      <c r="F201" s="14">
        <v>111</v>
      </c>
      <c r="G201" s="14">
        <f t="shared" si="48"/>
        <v>1.6855991205569909E-2</v>
      </c>
      <c r="H201" s="14">
        <v>254.55</v>
      </c>
      <c r="I201" s="14">
        <f t="shared" si="49"/>
        <v>-0.11257146841444698</v>
      </c>
      <c r="J201" s="14">
        <v>129.32</v>
      </c>
      <c r="K201" s="14">
        <f t="shared" si="50"/>
        <v>8.6905362245755402E-2</v>
      </c>
      <c r="L201" s="14">
        <v>192.9</v>
      </c>
      <c r="M201" s="14">
        <f t="shared" si="51"/>
        <v>-0.12130460529312626</v>
      </c>
      <c r="N201" s="14">
        <v>37.44</v>
      </c>
      <c r="O201" s="14">
        <f t="shared" si="52"/>
        <v>0.17995587771824773</v>
      </c>
      <c r="P201" s="14">
        <v>26.91</v>
      </c>
      <c r="Q201" s="14">
        <f t="shared" si="53"/>
        <v>-1.3924514474166316E-2</v>
      </c>
      <c r="R201" s="14">
        <v>195.78</v>
      </c>
      <c r="S201" s="14">
        <f t="shared" si="54"/>
        <v>0.18231777281236794</v>
      </c>
      <c r="T201" s="14">
        <v>70.83</v>
      </c>
      <c r="U201" s="14">
        <f t="shared" si="45"/>
        <v>7.5789793438639119E-2</v>
      </c>
      <c r="V201" s="14">
        <v>67858.09375</v>
      </c>
      <c r="W201">
        <f t="shared" si="55"/>
        <v>0.12905378312550353</v>
      </c>
      <c r="Z201">
        <f t="shared" si="56"/>
        <v>-1.2870434631012315E-2</v>
      </c>
      <c r="AA201">
        <f t="shared" si="57"/>
        <v>-3.2701070950468487E-2</v>
      </c>
      <c r="AB201">
        <f t="shared" si="58"/>
        <v>-3.2625137412971681E-3</v>
      </c>
      <c r="AC201">
        <f t="shared" si="59"/>
        <v>2.3093150060753343E-2</v>
      </c>
    </row>
    <row r="202" spans="1:29" x14ac:dyDescent="0.75">
      <c r="A202" s="1">
        <v>44865.041250000002</v>
      </c>
      <c r="B202" s="14">
        <v>76.709999999999994</v>
      </c>
      <c r="C202" s="14">
        <f t="shared" si="46"/>
        <v>8.087924475130337E-2</v>
      </c>
      <c r="D202" s="14">
        <v>7.7</v>
      </c>
      <c r="E202" s="14">
        <f t="shared" si="47"/>
        <v>0.10951008645533133</v>
      </c>
      <c r="F202" s="14">
        <v>109.7</v>
      </c>
      <c r="G202" s="14">
        <f t="shared" si="48"/>
        <v>-1.1711711711711703E-2</v>
      </c>
      <c r="H202" s="14">
        <v>306.89999999999998</v>
      </c>
      <c r="I202" s="14">
        <f t="shared" si="49"/>
        <v>0.20565704183853839</v>
      </c>
      <c r="J202" s="14">
        <v>161.05000000000001</v>
      </c>
      <c r="K202" s="14">
        <f t="shared" si="50"/>
        <v>0.24536034642746696</v>
      </c>
      <c r="L202" s="14">
        <v>229.83</v>
      </c>
      <c r="M202" s="14">
        <f t="shared" si="51"/>
        <v>0.19144634525660975</v>
      </c>
      <c r="N202" s="14">
        <v>39.979999999999997</v>
      </c>
      <c r="O202" s="14">
        <f t="shared" si="52"/>
        <v>6.7841880341880323E-2</v>
      </c>
      <c r="P202" s="14">
        <v>31.26</v>
      </c>
      <c r="Q202" s="14">
        <f t="shared" si="53"/>
        <v>0.16164994425863988</v>
      </c>
      <c r="R202" s="14">
        <v>224.76</v>
      </c>
      <c r="S202" s="14">
        <f t="shared" si="54"/>
        <v>0.14802329144958626</v>
      </c>
      <c r="T202" s="14">
        <v>76.53</v>
      </c>
      <c r="U202" s="14">
        <f t="shared" si="45"/>
        <v>8.0474375264718345E-2</v>
      </c>
      <c r="V202" s="14">
        <v>67283.601563000004</v>
      </c>
      <c r="W202">
        <f t="shared" si="55"/>
        <v>0.1142488333571523</v>
      </c>
      <c r="Z202">
        <f t="shared" si="56"/>
        <v>0.11286832293022123</v>
      </c>
      <c r="AA202">
        <f t="shared" si="57"/>
        <v>5.0473198847262209E-2</v>
      </c>
      <c r="AB202">
        <f t="shared" si="58"/>
        <v>3.7874581939799326E-2</v>
      </c>
      <c r="AC202">
        <f t="shared" si="59"/>
        <v>2.4520542143159681E-2</v>
      </c>
    </row>
    <row r="203" spans="1:29" x14ac:dyDescent="0.75">
      <c r="A203" s="1">
        <v>44895.041250000002</v>
      </c>
      <c r="B203" s="14">
        <v>81.94</v>
      </c>
      <c r="C203" s="14">
        <f t="shared" si="46"/>
        <v>6.8178855429539942E-2</v>
      </c>
      <c r="D203" s="14">
        <v>8.85</v>
      </c>
      <c r="E203" s="14">
        <f t="shared" si="47"/>
        <v>0.14935064935064934</v>
      </c>
      <c r="F203" s="14">
        <v>118.85</v>
      </c>
      <c r="G203" s="14">
        <f t="shared" si="48"/>
        <v>8.3409298085688199E-2</v>
      </c>
      <c r="H203" s="14">
        <v>311.36</v>
      </c>
      <c r="I203" s="14">
        <f t="shared" si="49"/>
        <v>1.4532420984034067E-2</v>
      </c>
      <c r="J203" s="14">
        <v>154.30000000000001</v>
      </c>
      <c r="K203" s="14">
        <f t="shared" si="50"/>
        <v>-4.19124495498292E-2</v>
      </c>
      <c r="L203" s="14">
        <v>240.83</v>
      </c>
      <c r="M203" s="14">
        <f t="shared" si="51"/>
        <v>4.7861462820345535E-2</v>
      </c>
      <c r="N203" s="14">
        <v>39.520000000000003</v>
      </c>
      <c r="O203" s="14">
        <f t="shared" si="52"/>
        <v>-1.1505752876438069E-2</v>
      </c>
      <c r="P203" s="14">
        <v>32.799999999999997</v>
      </c>
      <c r="Q203" s="14">
        <f t="shared" si="53"/>
        <v>4.9264235444657523E-2</v>
      </c>
      <c r="R203" s="14">
        <v>259.38</v>
      </c>
      <c r="S203" s="14">
        <f t="shared" si="54"/>
        <v>0.15403096636412172</v>
      </c>
      <c r="T203" s="14">
        <v>76.72</v>
      </c>
      <c r="U203" s="14">
        <f t="shared" si="45"/>
        <v>2.4826865281588617E-3</v>
      </c>
      <c r="V203" s="14">
        <v>68590.570313000004</v>
      </c>
      <c r="W203">
        <f t="shared" si="55"/>
        <v>7.8256826446140293E-2</v>
      </c>
      <c r="Z203">
        <f t="shared" si="56"/>
        <v>8.1134799235527549E-2</v>
      </c>
      <c r="AA203">
        <f t="shared" si="57"/>
        <v>6.8835714285714278E-2</v>
      </c>
      <c r="AB203">
        <f t="shared" si="58"/>
        <v>1.1542610364683258E-2</v>
      </c>
      <c r="AC203">
        <f t="shared" si="59"/>
        <v>7.5647458513000525E-4</v>
      </c>
    </row>
    <row r="204" spans="1:29" x14ac:dyDescent="0.75">
      <c r="A204" s="1">
        <v>44925.041250000002</v>
      </c>
      <c r="B204" s="14">
        <v>82.36</v>
      </c>
      <c r="C204" s="14">
        <f t="shared" si="46"/>
        <v>5.1257017329753296E-3</v>
      </c>
      <c r="D204" s="14">
        <v>7.88</v>
      </c>
      <c r="E204" s="14">
        <f t="shared" si="47"/>
        <v>-0.10960451977401131</v>
      </c>
      <c r="F204" s="14">
        <v>118</v>
      </c>
      <c r="G204" s="14">
        <f t="shared" si="48"/>
        <v>-7.1518721076987424E-3</v>
      </c>
      <c r="H204" s="14">
        <v>279.14999999999998</v>
      </c>
      <c r="I204" s="14">
        <f t="shared" si="49"/>
        <v>-0.10344938335046261</v>
      </c>
      <c r="J204" s="14">
        <v>139.91</v>
      </c>
      <c r="K204" s="14">
        <f t="shared" si="50"/>
        <v>-9.3259883344134931E-2</v>
      </c>
      <c r="L204" s="14">
        <v>260.74</v>
      </c>
      <c r="M204" s="14">
        <f t="shared" si="51"/>
        <v>8.2672424531827327E-2</v>
      </c>
      <c r="N204" s="14">
        <v>43.65</v>
      </c>
      <c r="O204" s="14">
        <f t="shared" si="52"/>
        <v>0.10450404858299578</v>
      </c>
      <c r="P204" s="14">
        <v>33.07</v>
      </c>
      <c r="Q204" s="14">
        <f t="shared" si="53"/>
        <v>8.2317073170732336E-3</v>
      </c>
      <c r="R204" s="14">
        <v>239.66</v>
      </c>
      <c r="S204" s="14">
        <f t="shared" si="54"/>
        <v>-7.6027450073251623E-2</v>
      </c>
      <c r="T204" s="14">
        <v>68.59</v>
      </c>
      <c r="U204" s="14">
        <f t="shared" si="45"/>
        <v>-0.10596976016684045</v>
      </c>
      <c r="V204" s="14">
        <v>69855.226563000004</v>
      </c>
      <c r="W204">
        <f t="shared" si="55"/>
        <v>-9.0998605120046039E-2</v>
      </c>
      <c r="Z204">
        <f t="shared" si="56"/>
        <v>-8.0877020062287835E-2</v>
      </c>
      <c r="AA204">
        <f t="shared" si="57"/>
        <v>-5.0516723163841808E-2</v>
      </c>
      <c r="AB204">
        <f t="shared" si="58"/>
        <v>1.9286890243902586E-3</v>
      </c>
      <c r="AC204">
        <f t="shared" si="59"/>
        <v>-3.2288985922836286E-2</v>
      </c>
    </row>
    <row r="205" spans="1:29" x14ac:dyDescent="0.75">
      <c r="A205" s="1">
        <v>44957.041250000002</v>
      </c>
      <c r="B205" s="14">
        <v>94.02</v>
      </c>
      <c r="C205" s="14">
        <f t="shared" si="46"/>
        <v>0.14157357940747928</v>
      </c>
      <c r="D205" s="14">
        <v>10.039999999999999</v>
      </c>
      <c r="E205" s="14">
        <f t="shared" si="47"/>
        <v>0.27411167512690349</v>
      </c>
      <c r="F205" s="14">
        <v>120.9</v>
      </c>
      <c r="G205" s="14">
        <f t="shared" si="48"/>
        <v>2.457627118644079E-2</v>
      </c>
      <c r="H205" s="14">
        <v>325.08999999999997</v>
      </c>
      <c r="I205" s="14">
        <f t="shared" si="49"/>
        <v>0.16457101916532335</v>
      </c>
      <c r="J205" s="14">
        <v>156.19</v>
      </c>
      <c r="K205" s="14">
        <f t="shared" si="50"/>
        <v>0.11636051747552001</v>
      </c>
      <c r="L205" s="14">
        <v>273.89</v>
      </c>
      <c r="M205" s="14">
        <f t="shared" si="51"/>
        <v>5.0433381913016717E-2</v>
      </c>
      <c r="N205" s="14">
        <v>45.56</v>
      </c>
      <c r="O205" s="14">
        <f t="shared" si="52"/>
        <v>4.3757159221076813E-2</v>
      </c>
      <c r="P205" s="14">
        <v>35.94</v>
      </c>
      <c r="Q205" s="14">
        <f t="shared" si="53"/>
        <v>8.6785606289688566E-2</v>
      </c>
      <c r="R205" s="14">
        <v>268.36</v>
      </c>
      <c r="S205" s="14">
        <f t="shared" si="54"/>
        <v>0.11975298339314033</v>
      </c>
      <c r="T205" s="14">
        <v>73.760000000000005</v>
      </c>
      <c r="U205" s="14">
        <f t="shared" si="45"/>
        <v>7.5375419157311496E-2</v>
      </c>
      <c r="V205" s="14">
        <v>70019.453125</v>
      </c>
      <c r="W205">
        <f t="shared" si="55"/>
        <v>9.7564201275225915E-2</v>
      </c>
      <c r="Z205">
        <f t="shared" si="56"/>
        <v>0.16963882883689665</v>
      </c>
      <c r="AA205">
        <f t="shared" si="57"/>
        <v>0.12633807106598982</v>
      </c>
      <c r="AB205">
        <f t="shared" si="58"/>
        <v>2.0333867553674032E-2</v>
      </c>
      <c r="AC205">
        <f t="shared" si="59"/>
        <v>2.2966890217232815E-2</v>
      </c>
    </row>
    <row r="206" spans="1:29" x14ac:dyDescent="0.75">
      <c r="A206" s="1">
        <v>44985.041250000002</v>
      </c>
      <c r="B206" s="14">
        <v>86.85</v>
      </c>
      <c r="C206" s="14">
        <f t="shared" si="46"/>
        <v>-7.6260370134014099E-2</v>
      </c>
      <c r="D206" s="14">
        <v>9.16</v>
      </c>
      <c r="E206" s="14">
        <f t="shared" si="47"/>
        <v>-8.7649402390438169E-2</v>
      </c>
      <c r="F206" s="14">
        <v>125</v>
      </c>
      <c r="G206" s="14">
        <f t="shared" si="48"/>
        <v>3.3912324234904867E-2</v>
      </c>
      <c r="H206" s="14">
        <v>347.97</v>
      </c>
      <c r="I206" s="14">
        <f t="shared" si="49"/>
        <v>7.038051001261203E-2</v>
      </c>
      <c r="J206" s="14">
        <v>154.44</v>
      </c>
      <c r="K206" s="14">
        <f t="shared" si="50"/>
        <v>-1.1204302452141657E-2</v>
      </c>
      <c r="L206" s="14">
        <v>268.20999999999998</v>
      </c>
      <c r="M206" s="14">
        <f t="shared" si="51"/>
        <v>-2.0738252583153871E-2</v>
      </c>
      <c r="N206" s="14">
        <v>42.81</v>
      </c>
      <c r="O206" s="14">
        <f t="shared" si="52"/>
        <v>-6.0359964881474992E-2</v>
      </c>
      <c r="P206" s="14">
        <v>36.71</v>
      </c>
      <c r="Q206" s="14">
        <f t="shared" si="53"/>
        <v>2.1424596549805219E-2</v>
      </c>
      <c r="R206" s="14">
        <v>218.91</v>
      </c>
      <c r="S206" s="14">
        <f t="shared" si="54"/>
        <v>-0.18426740199731706</v>
      </c>
      <c r="T206" s="14">
        <v>72.010000000000005</v>
      </c>
      <c r="U206" s="14">
        <f t="shared" si="45"/>
        <v>-2.3725596529284187E-2</v>
      </c>
      <c r="V206" s="14">
        <v>69855.578125</v>
      </c>
      <c r="W206">
        <f t="shared" si="55"/>
        <v>-0.10399649926330062</v>
      </c>
      <c r="Z206">
        <f t="shared" si="56"/>
        <v>-4.2607015852606483E-2</v>
      </c>
      <c r="AA206">
        <f t="shared" si="57"/>
        <v>-4.0397609561752951E-2</v>
      </c>
      <c r="AB206">
        <f t="shared" si="58"/>
        <v>5.0197829716193626E-3</v>
      </c>
      <c r="AC206">
        <f t="shared" si="59"/>
        <v>-7.2291892624728928E-3</v>
      </c>
    </row>
    <row r="207" spans="1:29" x14ac:dyDescent="0.75">
      <c r="A207" s="1">
        <v>45016.041250000002</v>
      </c>
      <c r="B207" s="14">
        <v>90.68</v>
      </c>
      <c r="C207" s="14">
        <f t="shared" si="46"/>
        <v>4.4099021301093888E-2</v>
      </c>
      <c r="D207" s="14">
        <v>9.89</v>
      </c>
      <c r="E207" s="14">
        <f t="shared" si="47"/>
        <v>7.9694323144104739E-2</v>
      </c>
      <c r="F207" s="14">
        <v>131.5</v>
      </c>
      <c r="G207" s="14">
        <f t="shared" si="48"/>
        <v>5.2000000000000046E-2</v>
      </c>
      <c r="H207" s="14">
        <v>350.61</v>
      </c>
      <c r="I207" s="14">
        <f t="shared" si="49"/>
        <v>7.5868609362874651E-3</v>
      </c>
      <c r="J207" s="14">
        <v>151.9</v>
      </c>
      <c r="K207" s="14">
        <f t="shared" si="50"/>
        <v>-1.6446516446516402E-2</v>
      </c>
      <c r="L207" s="14">
        <v>265.83999999999997</v>
      </c>
      <c r="M207" s="14">
        <f t="shared" si="51"/>
        <v>-8.836359568994423E-3</v>
      </c>
      <c r="N207" s="14">
        <v>46.47</v>
      </c>
      <c r="O207" s="14">
        <f t="shared" si="52"/>
        <v>8.5494043447792434E-2</v>
      </c>
      <c r="P207" s="14">
        <v>37.96</v>
      </c>
      <c r="Q207" s="14">
        <f t="shared" si="53"/>
        <v>3.4050667393080936E-2</v>
      </c>
      <c r="R207" s="14">
        <v>265.8</v>
      </c>
      <c r="S207" s="14">
        <f t="shared" si="54"/>
        <v>0.21419761545840754</v>
      </c>
      <c r="T207" s="14">
        <v>72.03</v>
      </c>
      <c r="U207" s="14">
        <f t="shared" si="45"/>
        <v>2.7773920288853837E-4</v>
      </c>
      <c r="V207" s="14">
        <v>70246.296875</v>
      </c>
      <c r="W207">
        <f t="shared" si="55"/>
        <v>0.10723767733064804</v>
      </c>
      <c r="Z207">
        <f t="shared" si="56"/>
        <v>4.4793812042436876E-2</v>
      </c>
      <c r="AA207">
        <f t="shared" si="57"/>
        <v>3.6731113537117874E-2</v>
      </c>
      <c r="AB207">
        <f t="shared" si="58"/>
        <v>7.9780713701988627E-3</v>
      </c>
      <c r="AC207">
        <f t="shared" si="59"/>
        <v>8.4627135120137655E-5</v>
      </c>
    </row>
    <row r="208" spans="1:29" x14ac:dyDescent="0.75">
      <c r="A208" s="1">
        <v>45044.041250000002</v>
      </c>
      <c r="B208" s="14">
        <v>96.3</v>
      </c>
      <c r="C208" s="14">
        <f t="shared" si="46"/>
        <v>6.1976179973533219E-2</v>
      </c>
      <c r="D208" s="14">
        <v>10.8</v>
      </c>
      <c r="E208" s="14">
        <f t="shared" si="47"/>
        <v>9.2012133468149626E-2</v>
      </c>
      <c r="F208" s="14">
        <v>131.38999999999999</v>
      </c>
      <c r="G208" s="14">
        <f t="shared" si="48"/>
        <v>-8.3650190114081813E-4</v>
      </c>
      <c r="H208" s="14">
        <v>319.89</v>
      </c>
      <c r="I208" s="14">
        <f t="shared" si="49"/>
        <v>-8.7618721656541498E-2</v>
      </c>
      <c r="J208" s="14">
        <v>155.47999999999999</v>
      </c>
      <c r="K208" s="14">
        <f t="shared" si="50"/>
        <v>2.3568136932192063E-2</v>
      </c>
      <c r="L208" s="14">
        <v>281.43</v>
      </c>
      <c r="M208" s="14">
        <f t="shared" si="51"/>
        <v>5.8644297321697403E-2</v>
      </c>
      <c r="N208" s="14">
        <v>47.89</v>
      </c>
      <c r="O208" s="14">
        <f t="shared" si="52"/>
        <v>3.0557348827200403E-2</v>
      </c>
      <c r="P208" s="14">
        <v>40.78</v>
      </c>
      <c r="Q208" s="14">
        <f t="shared" si="53"/>
        <v>7.4288724973656572E-2</v>
      </c>
      <c r="R208" s="14">
        <v>276.29000000000002</v>
      </c>
      <c r="S208" s="14">
        <f t="shared" si="54"/>
        <v>3.94657637321294E-2</v>
      </c>
      <c r="T208" s="14">
        <v>72.489999999999995</v>
      </c>
      <c r="U208" s="14">
        <f t="shared" si="45"/>
        <v>6.3862279605719774E-3</v>
      </c>
      <c r="V208" s="14">
        <v>70036.65625</v>
      </c>
      <c r="W208">
        <f t="shared" si="55"/>
        <v>2.2925995846350689E-2</v>
      </c>
      <c r="Z208">
        <f t="shared" si="56"/>
        <v>6.1760124236384176E-2</v>
      </c>
      <c r="AA208">
        <f t="shared" si="57"/>
        <v>4.240839231547016E-2</v>
      </c>
      <c r="AB208">
        <f t="shared" si="58"/>
        <v>1.7405848261327735E-2</v>
      </c>
      <c r="AC208">
        <f t="shared" si="59"/>
        <v>1.9458836595862817E-3</v>
      </c>
    </row>
    <row r="209" spans="1:29" x14ac:dyDescent="0.75">
      <c r="A209" s="1">
        <v>45077.041250000002</v>
      </c>
      <c r="B209" s="14">
        <v>94.56</v>
      </c>
      <c r="C209" s="14">
        <f t="shared" si="46"/>
        <v>-1.8068535825545129E-2</v>
      </c>
      <c r="D209" s="14">
        <v>10.64</v>
      </c>
      <c r="E209" s="14">
        <f t="shared" si="47"/>
        <v>-1.4814814814814836E-2</v>
      </c>
      <c r="F209" s="14">
        <v>135</v>
      </c>
      <c r="G209" s="14">
        <f t="shared" si="48"/>
        <v>2.7475454753025375E-2</v>
      </c>
      <c r="H209" s="14">
        <v>312.97000000000003</v>
      </c>
      <c r="I209" s="14">
        <f t="shared" si="49"/>
        <v>-2.1632436149926382E-2</v>
      </c>
      <c r="J209" s="14">
        <v>141.79</v>
      </c>
      <c r="K209" s="14">
        <f t="shared" si="50"/>
        <v>-8.8049909956264494E-2</v>
      </c>
      <c r="L209" s="14">
        <v>271.88</v>
      </c>
      <c r="M209" s="14">
        <f t="shared" si="51"/>
        <v>-3.3933837899300046E-2</v>
      </c>
      <c r="N209" s="14">
        <v>44.17</v>
      </c>
      <c r="O209" s="14">
        <f t="shared" si="52"/>
        <v>-7.7678012111087935E-2</v>
      </c>
      <c r="P209" s="14">
        <v>35.979999999999997</v>
      </c>
      <c r="Q209" s="14">
        <f t="shared" si="53"/>
        <v>-0.11770475723393825</v>
      </c>
      <c r="R209" s="14">
        <v>270.68</v>
      </c>
      <c r="S209" s="14">
        <f t="shared" si="54"/>
        <v>-2.0304752253067493E-2</v>
      </c>
      <c r="T209" s="14">
        <v>67.22</v>
      </c>
      <c r="U209" s="14">
        <f t="shared" si="45"/>
        <v>-7.2699682714857161E-2</v>
      </c>
      <c r="V209" s="14">
        <v>70187.453125</v>
      </c>
      <c r="W209">
        <f t="shared" si="55"/>
        <v>-4.6502217483962327E-2</v>
      </c>
      <c r="Z209">
        <f t="shared" si="56"/>
        <v>-5.6557966091276869E-2</v>
      </c>
      <c r="AA209">
        <f t="shared" si="57"/>
        <v>-6.8281481481481578E-3</v>
      </c>
      <c r="AB209">
        <f t="shared" si="58"/>
        <v>-2.7578224619911731E-2</v>
      </c>
      <c r="AC209">
        <f t="shared" si="59"/>
        <v>-2.2151593323216978E-2</v>
      </c>
    </row>
    <row r="210" spans="1:29" x14ac:dyDescent="0.75">
      <c r="A210" s="1">
        <v>45107.041250000002</v>
      </c>
      <c r="B210" s="14">
        <v>91.65</v>
      </c>
      <c r="C210" s="14">
        <f t="shared" si="46"/>
        <v>-3.0774111675126892E-2</v>
      </c>
      <c r="D210" s="14">
        <v>12.1</v>
      </c>
      <c r="E210" s="14">
        <f t="shared" si="47"/>
        <v>0.13721804511278179</v>
      </c>
      <c r="F210" s="14">
        <v>137</v>
      </c>
      <c r="G210" s="14">
        <f t="shared" si="48"/>
        <v>1.4814814814814836E-2</v>
      </c>
      <c r="H210" s="14">
        <v>307.23</v>
      </c>
      <c r="I210" s="14">
        <f t="shared" si="49"/>
        <v>-1.8340416014314465E-2</v>
      </c>
      <c r="J210" s="14">
        <v>141.21</v>
      </c>
      <c r="K210" s="14">
        <f t="shared" si="50"/>
        <v>-4.0905564567316199E-3</v>
      </c>
      <c r="L210" s="14">
        <v>274.77999999999997</v>
      </c>
      <c r="M210" s="14">
        <f t="shared" si="51"/>
        <v>1.0666470501691894E-2</v>
      </c>
      <c r="N210" s="14">
        <v>44.43</v>
      </c>
      <c r="O210" s="14">
        <f t="shared" si="52"/>
        <v>5.8863482001358935E-3</v>
      </c>
      <c r="P210" s="14">
        <v>38.07</v>
      </c>
      <c r="Q210" s="14">
        <f t="shared" si="53"/>
        <v>5.8087826570316858E-2</v>
      </c>
      <c r="R210" s="14">
        <v>240.43</v>
      </c>
      <c r="S210" s="14">
        <f t="shared" si="54"/>
        <v>-0.11175557854292895</v>
      </c>
      <c r="T210" s="14">
        <v>67.72</v>
      </c>
      <c r="U210" s="14">
        <f t="shared" si="45"/>
        <v>7.4382624218982674E-3</v>
      </c>
      <c r="V210" s="14">
        <v>69206.851563000004</v>
      </c>
      <c r="W210">
        <f t="shared" si="55"/>
        <v>-5.2158658060515339E-2</v>
      </c>
      <c r="Z210">
        <f t="shared" si="56"/>
        <v>7.9120213317858776E-2</v>
      </c>
      <c r="AA210">
        <f t="shared" si="57"/>
        <v>6.324379699248113E-2</v>
      </c>
      <c r="AB210">
        <f t="shared" si="58"/>
        <v>1.3609977765425241E-2</v>
      </c>
      <c r="AC210">
        <f t="shared" si="59"/>
        <v>2.2664385599524021E-3</v>
      </c>
    </row>
    <row r="211" spans="1:29" x14ac:dyDescent="0.75">
      <c r="A211" s="1">
        <v>45138.041250000002</v>
      </c>
      <c r="B211" s="14">
        <v>86.81</v>
      </c>
      <c r="C211" s="14">
        <f t="shared" si="46"/>
        <v>-5.2809601745771984E-2</v>
      </c>
      <c r="D211" s="14">
        <v>12.72</v>
      </c>
      <c r="E211" s="14">
        <f t="shared" si="47"/>
        <v>5.123966942148761E-2</v>
      </c>
      <c r="F211" s="14">
        <v>150</v>
      </c>
      <c r="G211" s="14">
        <f t="shared" si="48"/>
        <v>9.4890510948905105E-2</v>
      </c>
      <c r="H211" s="14">
        <v>319.05</v>
      </c>
      <c r="I211" s="14">
        <f t="shared" si="49"/>
        <v>3.8472805390098674E-2</v>
      </c>
      <c r="J211" s="14">
        <v>158.71</v>
      </c>
      <c r="K211" s="14">
        <f t="shared" si="50"/>
        <v>0.12392890021953118</v>
      </c>
      <c r="L211" s="14">
        <v>300.38</v>
      </c>
      <c r="M211" s="14">
        <f t="shared" si="51"/>
        <v>9.3165441444064356E-2</v>
      </c>
      <c r="N211" s="14">
        <v>48.86</v>
      </c>
      <c r="O211" s="14">
        <f t="shared" si="52"/>
        <v>9.9707404906594688E-2</v>
      </c>
      <c r="P211" s="14">
        <v>39.32</v>
      </c>
      <c r="Q211" s="14">
        <f t="shared" si="53"/>
        <v>3.2834252692408805E-2</v>
      </c>
      <c r="R211" s="14">
        <v>239.43</v>
      </c>
      <c r="S211" s="14">
        <f t="shared" si="54"/>
        <v>-4.1592147402570445E-3</v>
      </c>
      <c r="T211" s="14">
        <v>69.709999999999994</v>
      </c>
      <c r="U211" s="14">
        <f t="shared" si="45"/>
        <v>2.938570584760769E-2</v>
      </c>
      <c r="V211" s="14">
        <v>67976.5</v>
      </c>
      <c r="W211">
        <f t="shared" si="55"/>
        <v>1.2613245553675323E-2</v>
      </c>
      <c r="Z211">
        <f t="shared" si="56"/>
        <v>4.0263253613961082E-2</v>
      </c>
      <c r="AA211">
        <f t="shared" si="57"/>
        <v>2.3616363636363637E-2</v>
      </c>
      <c r="AB211">
        <f t="shared" si="58"/>
        <v>7.6930654058313831E-3</v>
      </c>
      <c r="AC211">
        <f t="shared" si="59"/>
        <v>8.9538245717660642E-3</v>
      </c>
    </row>
    <row r="212" spans="1:29" x14ac:dyDescent="0.75">
      <c r="A212" s="1">
        <v>45169.041250000002</v>
      </c>
      <c r="B212" s="14">
        <v>83.88</v>
      </c>
      <c r="C212" s="14">
        <f t="shared" si="46"/>
        <v>-3.3751871904158626E-2</v>
      </c>
      <c r="D212" s="14">
        <v>13.45</v>
      </c>
      <c r="E212" s="14">
        <f t="shared" si="47"/>
        <v>5.7389937106918198E-2</v>
      </c>
      <c r="F212" s="14">
        <v>147.5</v>
      </c>
      <c r="G212" s="14">
        <f t="shared" si="48"/>
        <v>-1.6666666666666718E-2</v>
      </c>
      <c r="H212" s="14">
        <v>313.26</v>
      </c>
      <c r="I212" s="14">
        <f t="shared" si="49"/>
        <v>-1.8147625763986874E-2</v>
      </c>
      <c r="J212" s="14">
        <v>144.41999999999999</v>
      </c>
      <c r="K212" s="14">
        <f t="shared" si="50"/>
        <v>-9.0038434881230089E-2</v>
      </c>
      <c r="L212" s="14">
        <v>284.63</v>
      </c>
      <c r="M212" s="14">
        <f t="shared" si="51"/>
        <v>-5.2433584126772792E-2</v>
      </c>
      <c r="N212" s="14">
        <v>41.32</v>
      </c>
      <c r="O212" s="14">
        <f t="shared" si="52"/>
        <v>-0.15431846090871881</v>
      </c>
      <c r="P212" s="14">
        <v>38.36</v>
      </c>
      <c r="Q212" s="14">
        <f t="shared" si="53"/>
        <v>-2.4415055951169884E-2</v>
      </c>
      <c r="R212" s="14">
        <v>241.16</v>
      </c>
      <c r="S212" s="14">
        <f t="shared" si="54"/>
        <v>7.225493881301448E-3</v>
      </c>
      <c r="T212" s="14">
        <v>67.17</v>
      </c>
      <c r="U212" s="14">
        <f t="shared" si="45"/>
        <v>-3.6436666188495059E-2</v>
      </c>
      <c r="V212" s="14">
        <v>68405.203125</v>
      </c>
      <c r="W212">
        <f t="shared" si="55"/>
        <v>-1.4605586153596806E-2</v>
      </c>
      <c r="Z212">
        <f t="shared" si="56"/>
        <v>9.6283222155850445E-3</v>
      </c>
      <c r="AA212">
        <f t="shared" si="57"/>
        <v>2.6451022012578596E-2</v>
      </c>
      <c r="AB212">
        <f t="shared" si="58"/>
        <v>-5.720447609359104E-3</v>
      </c>
      <c r="AC212">
        <f t="shared" si="59"/>
        <v>-1.1102252187634446E-2</v>
      </c>
    </row>
    <row r="213" spans="1:29" x14ac:dyDescent="0.75">
      <c r="A213" s="1">
        <v>45198.041250000002</v>
      </c>
      <c r="B213" s="14">
        <v>84.02</v>
      </c>
      <c r="C213" s="14">
        <f t="shared" si="46"/>
        <v>1.6690510252741486E-3</v>
      </c>
      <c r="D213" s="14">
        <v>11.37</v>
      </c>
      <c r="E213" s="14">
        <f t="shared" si="47"/>
        <v>-0.15464684014869889</v>
      </c>
      <c r="F213" s="14">
        <v>150</v>
      </c>
      <c r="G213" s="14">
        <f t="shared" si="48"/>
        <v>1.6949152542372836E-2</v>
      </c>
      <c r="H213" s="14">
        <v>286.44</v>
      </c>
      <c r="I213" s="14">
        <f t="shared" si="49"/>
        <v>-8.561578241716139E-2</v>
      </c>
      <c r="J213" s="14">
        <v>146.11000000000001</v>
      </c>
      <c r="K213" s="14">
        <f t="shared" si="50"/>
        <v>1.1701980335133921E-2</v>
      </c>
      <c r="L213" s="14">
        <v>298.48</v>
      </c>
      <c r="M213" s="14">
        <f t="shared" si="51"/>
        <v>4.8659663422689237E-2</v>
      </c>
      <c r="N213" s="14">
        <v>40.98</v>
      </c>
      <c r="O213" s="14">
        <f t="shared" si="52"/>
        <v>-8.2284607938045706E-3</v>
      </c>
      <c r="P213" s="14">
        <v>34.700000000000003</v>
      </c>
      <c r="Q213" s="14">
        <f t="shared" si="53"/>
        <v>-9.5411887382690241E-2</v>
      </c>
      <c r="R213" s="14">
        <v>205.45</v>
      </c>
      <c r="S213" s="14">
        <f t="shared" si="54"/>
        <v>-0.1480759661635429</v>
      </c>
      <c r="T213" s="14">
        <v>65.599999999999994</v>
      </c>
      <c r="U213" s="14">
        <f t="shared" si="45"/>
        <v>-2.3373529849635366E-2</v>
      </c>
      <c r="V213" s="14">
        <v>68555.632813000004</v>
      </c>
      <c r="W213">
        <f t="shared" si="55"/>
        <v>-8.5724748006589135E-2</v>
      </c>
      <c r="Z213">
        <f t="shared" si="56"/>
        <v>-0.10075364838348352</v>
      </c>
      <c r="AA213">
        <f t="shared" si="57"/>
        <v>-7.127672862453531E-2</v>
      </c>
      <c r="AB213">
        <f t="shared" si="58"/>
        <v>-2.2355005213764323E-2</v>
      </c>
      <c r="AC213">
        <f t="shared" si="59"/>
        <v>-7.1219145451838963E-3</v>
      </c>
    </row>
    <row r="214" spans="1:29" x14ac:dyDescent="0.75">
      <c r="A214" s="1">
        <v>45230.041250000002</v>
      </c>
      <c r="B214" s="14">
        <v>73.38</v>
      </c>
      <c r="C214" s="14">
        <f t="shared" si="46"/>
        <v>-0.12663651511544871</v>
      </c>
      <c r="D214" s="14">
        <v>10.83</v>
      </c>
      <c r="E214" s="14">
        <f t="shared" si="47"/>
        <v>-4.7493403693931291E-2</v>
      </c>
      <c r="F214" s="14">
        <v>154</v>
      </c>
      <c r="G214" s="14">
        <f t="shared" si="48"/>
        <v>2.6666666666666616E-2</v>
      </c>
      <c r="H214" s="14">
        <v>210.31</v>
      </c>
      <c r="I214" s="14">
        <f t="shared" si="49"/>
        <v>-0.2657799190057254</v>
      </c>
      <c r="J214" s="14">
        <v>146.32</v>
      </c>
      <c r="K214" s="14">
        <f t="shared" si="50"/>
        <v>1.4372732872491856E-3</v>
      </c>
      <c r="L214" s="14">
        <v>313.73</v>
      </c>
      <c r="M214" s="14">
        <f t="shared" si="51"/>
        <v>5.1092200482444339E-2</v>
      </c>
      <c r="N214" s="14">
        <v>40.97</v>
      </c>
      <c r="O214" s="14">
        <f t="shared" si="52"/>
        <v>-2.4402147388968842E-4</v>
      </c>
      <c r="P214" s="14">
        <v>33.049999999999997</v>
      </c>
      <c r="Q214" s="14">
        <f t="shared" si="53"/>
        <v>-4.7550432276657228E-2</v>
      </c>
      <c r="R214" s="14">
        <v>201.27</v>
      </c>
      <c r="S214" s="14">
        <f t="shared" si="54"/>
        <v>-2.0345582866877487E-2</v>
      </c>
      <c r="T214" s="14">
        <v>64.53</v>
      </c>
      <c r="U214" s="14">
        <f t="shared" si="45"/>
        <v>-1.6310975609756029E-2</v>
      </c>
      <c r="V214" s="14">
        <v>68893.929688000004</v>
      </c>
      <c r="W214">
        <f t="shared" si="55"/>
        <v>-1.8328279238316758E-2</v>
      </c>
      <c r="Z214">
        <f t="shared" si="56"/>
        <v>-3.8000730313246384E-2</v>
      </c>
      <c r="AA214">
        <f t="shared" si="57"/>
        <v>-2.1889709762532929E-2</v>
      </c>
      <c r="AB214">
        <f t="shared" si="58"/>
        <v>-1.114106628242079E-2</v>
      </c>
      <c r="AC214">
        <f t="shared" si="59"/>
        <v>-4.9699542682926628E-3</v>
      </c>
    </row>
    <row r="215" spans="1:29" x14ac:dyDescent="0.75">
      <c r="A215" s="1">
        <v>45260.041250000002</v>
      </c>
      <c r="B215" s="14">
        <v>87.64</v>
      </c>
      <c r="C215" s="14">
        <f t="shared" si="46"/>
        <v>0.19433088034886903</v>
      </c>
      <c r="D215" s="14">
        <v>12.07</v>
      </c>
      <c r="E215" s="14">
        <f t="shared" si="47"/>
        <v>0.11449676823638044</v>
      </c>
      <c r="F215" s="14">
        <v>165</v>
      </c>
      <c r="G215" s="14">
        <f t="shared" si="48"/>
        <v>7.1428571428571397E-2</v>
      </c>
      <c r="H215" s="14">
        <v>264.56</v>
      </c>
      <c r="I215" s="14">
        <f t="shared" si="49"/>
        <v>0.25795254624126285</v>
      </c>
      <c r="J215" s="14">
        <v>161.51</v>
      </c>
      <c r="K215" s="14">
        <f t="shared" si="50"/>
        <v>0.10381355932203395</v>
      </c>
      <c r="L215" s="14">
        <v>321.88</v>
      </c>
      <c r="M215" s="14">
        <f t="shared" si="51"/>
        <v>2.5977751569821184E-2</v>
      </c>
      <c r="N215" s="14">
        <v>44.08</v>
      </c>
      <c r="O215" s="14">
        <f t="shared" si="52"/>
        <v>7.5909201855015818E-2</v>
      </c>
      <c r="P215" s="14">
        <v>35.14</v>
      </c>
      <c r="Q215" s="14">
        <f t="shared" si="53"/>
        <v>6.3237518910741475E-2</v>
      </c>
      <c r="R215" s="14">
        <v>254.75</v>
      </c>
      <c r="S215" s="14">
        <f t="shared" si="54"/>
        <v>0.26571272420132153</v>
      </c>
      <c r="T215" s="14">
        <v>68.09</v>
      </c>
      <c r="U215" s="14">
        <f t="shared" si="45"/>
        <v>5.5168138850147264E-2</v>
      </c>
      <c r="V215" s="14">
        <v>68384.40625</v>
      </c>
      <c r="W215">
        <f t="shared" si="55"/>
        <v>0.16044043152573439</v>
      </c>
      <c r="Z215">
        <f t="shared" si="56"/>
        <v>8.4397843068574341E-2</v>
      </c>
      <c r="AA215">
        <f t="shared" si="57"/>
        <v>5.2771560480147743E-2</v>
      </c>
      <c r="AB215">
        <f t="shared" si="58"/>
        <v>1.4816550680786729E-2</v>
      </c>
      <c r="AC215">
        <f t="shared" si="59"/>
        <v>1.6809731907639874E-2</v>
      </c>
    </row>
    <row r="216" spans="1:29" x14ac:dyDescent="0.75">
      <c r="A216" s="1">
        <v>45289.041250000002</v>
      </c>
      <c r="B216" s="14">
        <v>85.95</v>
      </c>
      <c r="C216" s="14">
        <f t="shared" si="46"/>
        <v>-1.9283432222729324E-2</v>
      </c>
      <c r="D216" s="14">
        <v>13.22</v>
      </c>
      <c r="E216" s="14">
        <f t="shared" si="47"/>
        <v>9.5277547638773941E-2</v>
      </c>
      <c r="F216" s="14">
        <v>171.63</v>
      </c>
      <c r="G216" s="14">
        <f t="shared" si="48"/>
        <v>4.0181818181818096E-2</v>
      </c>
      <c r="H216" s="14">
        <v>296.43</v>
      </c>
      <c r="I216" s="14">
        <f t="shared" si="49"/>
        <v>0.12046416691865747</v>
      </c>
      <c r="J216" s="14">
        <v>170.76</v>
      </c>
      <c r="K216" s="14">
        <f t="shared" si="50"/>
        <v>5.7271995542071741E-2</v>
      </c>
      <c r="L216" s="14">
        <v>311.14</v>
      </c>
      <c r="M216" s="14">
        <f t="shared" si="51"/>
        <v>-3.3366471977134382E-2</v>
      </c>
      <c r="N216" s="14">
        <v>46.1</v>
      </c>
      <c r="O216" s="14">
        <f t="shared" si="52"/>
        <v>4.5825771324863984E-2</v>
      </c>
      <c r="P216" s="14">
        <v>38.17</v>
      </c>
      <c r="Q216" s="14">
        <f t="shared" si="53"/>
        <v>8.6226522481502643E-2</v>
      </c>
      <c r="R216" s="14">
        <v>248.24</v>
      </c>
      <c r="S216" s="14">
        <f t="shared" si="54"/>
        <v>-2.555446516192339E-2</v>
      </c>
      <c r="T216" s="14">
        <v>71.569999999999993</v>
      </c>
      <c r="U216" s="14">
        <f t="shared" si="45"/>
        <v>5.1108826553091236E-2</v>
      </c>
      <c r="V216" s="14">
        <v>68333.46875</v>
      </c>
      <c r="W216">
        <f t="shared" si="55"/>
        <v>1.2777180695583923E-2</v>
      </c>
      <c r="Z216">
        <f t="shared" si="56"/>
        <v>7.9689155374853882E-2</v>
      </c>
      <c r="AA216">
        <f t="shared" si="57"/>
        <v>4.3913421706710906E-2</v>
      </c>
      <c r="AB216">
        <f t="shared" si="58"/>
        <v>2.020287421741607E-2</v>
      </c>
      <c r="AC216">
        <f t="shared" si="59"/>
        <v>1.5572859450726902E-2</v>
      </c>
    </row>
    <row r="217" spans="1:29" x14ac:dyDescent="0.75">
      <c r="A217" s="1">
        <v>45322.041250000002</v>
      </c>
      <c r="B217" s="14">
        <v>78.52</v>
      </c>
      <c r="C217" s="14">
        <f t="shared" si="46"/>
        <v>-8.6445607911576627E-2</v>
      </c>
      <c r="D217" s="14">
        <v>14.3</v>
      </c>
      <c r="E217" s="14">
        <f t="shared" si="47"/>
        <v>8.1694402420574797E-2</v>
      </c>
      <c r="F217" s="14">
        <v>171.63</v>
      </c>
      <c r="G217" s="14">
        <f t="shared" si="48"/>
        <v>0</v>
      </c>
      <c r="H217" s="14">
        <v>267.95</v>
      </c>
      <c r="I217" s="14">
        <f t="shared" si="49"/>
        <v>-9.6076645413757156E-2</v>
      </c>
      <c r="J217" s="14">
        <v>175.06</v>
      </c>
      <c r="K217" s="14">
        <f t="shared" si="50"/>
        <v>2.5181541344577285E-2</v>
      </c>
      <c r="L217" s="14">
        <v>322.2</v>
      </c>
      <c r="M217" s="14">
        <f t="shared" si="51"/>
        <v>3.5546699235071033E-2</v>
      </c>
      <c r="N217" s="14">
        <v>45.33</v>
      </c>
      <c r="O217" s="14">
        <f t="shared" si="52"/>
        <v>-1.6702819956616155E-2</v>
      </c>
      <c r="P217" s="14">
        <v>39.24</v>
      </c>
      <c r="Q217" s="14">
        <f t="shared" si="53"/>
        <v>2.8032486245742838E-2</v>
      </c>
      <c r="R217" s="14">
        <v>226.34</v>
      </c>
      <c r="S217" s="14">
        <f t="shared" si="54"/>
        <v>-8.8221076377699048E-2</v>
      </c>
      <c r="T217" s="14">
        <v>71.11</v>
      </c>
      <c r="U217" s="14">
        <f t="shared" si="45"/>
        <v>-6.4272739974848836E-3</v>
      </c>
      <c r="V217" s="14">
        <v>68261.171875</v>
      </c>
      <c r="W217">
        <f t="shared" si="55"/>
        <v>-4.7324175187591966E-2</v>
      </c>
      <c r="Z217">
        <f t="shared" si="56"/>
        <v>4.2262571215986824E-2</v>
      </c>
      <c r="AA217">
        <f t="shared" si="57"/>
        <v>3.765295007564292E-2</v>
      </c>
      <c r="AB217">
        <f t="shared" si="58"/>
        <v>6.5680115273775473E-3</v>
      </c>
      <c r="AC217">
        <f t="shared" si="59"/>
        <v>-1.9583903870336442E-3</v>
      </c>
    </row>
    <row r="218" spans="1:29" x14ac:dyDescent="0.75">
      <c r="A218" s="1">
        <v>45351.041250000002</v>
      </c>
      <c r="B218" s="14">
        <v>71.3</v>
      </c>
      <c r="C218" s="14">
        <f t="shared" si="46"/>
        <v>-9.1951095262353566E-2</v>
      </c>
      <c r="D218" s="14">
        <v>13.03</v>
      </c>
      <c r="E218" s="14">
        <f t="shared" si="47"/>
        <v>-8.8811188811188879E-2</v>
      </c>
      <c r="F218" s="14">
        <v>163.4</v>
      </c>
      <c r="G218" s="14">
        <f t="shared" si="48"/>
        <v>-4.7951989745382395E-2</v>
      </c>
      <c r="H218" s="14">
        <v>251.67</v>
      </c>
      <c r="I218" s="14">
        <f t="shared" si="49"/>
        <v>-6.0757604030602708E-2</v>
      </c>
      <c r="J218" s="14">
        <v>176.22</v>
      </c>
      <c r="K218" s="14">
        <f t="shared" si="50"/>
        <v>6.6262995544383863E-3</v>
      </c>
      <c r="L218" s="14">
        <v>303.52999999999997</v>
      </c>
      <c r="M218" s="14">
        <f t="shared" si="51"/>
        <v>-5.7945375543140942E-2</v>
      </c>
      <c r="N218" s="14">
        <v>46.9</v>
      </c>
      <c r="O218" s="14">
        <f t="shared" si="52"/>
        <v>3.4634899624972348E-2</v>
      </c>
      <c r="P218" s="14">
        <v>37.880000000000003</v>
      </c>
      <c r="Q218" s="14">
        <f t="shared" si="53"/>
        <v>-3.4658511722731933E-2</v>
      </c>
      <c r="R218" s="14">
        <v>213.58</v>
      </c>
      <c r="S218" s="14">
        <f t="shared" si="54"/>
        <v>-5.6375364495891089E-2</v>
      </c>
      <c r="T218" s="14">
        <v>68.25</v>
      </c>
      <c r="U218" s="14">
        <f t="shared" si="45"/>
        <v>-4.0219378427787889E-2</v>
      </c>
      <c r="V218" s="14">
        <v>69197.570313000004</v>
      </c>
      <c r="W218">
        <f t="shared" si="55"/>
        <v>-4.8297371461839489E-2</v>
      </c>
      <c r="Z218">
        <f t="shared" si="56"/>
        <v>-6.1308410826660019E-2</v>
      </c>
      <c r="AA218">
        <f t="shared" si="57"/>
        <v>-4.0933076923076954E-2</v>
      </c>
      <c r="AB218">
        <f t="shared" si="58"/>
        <v>-8.1204892966360923E-3</v>
      </c>
      <c r="AC218">
        <f t="shared" si="59"/>
        <v>-1.2254844606946971E-2</v>
      </c>
    </row>
    <row r="219" spans="1:29" x14ac:dyDescent="0.75">
      <c r="A219" s="1">
        <v>45378.041250000002</v>
      </c>
      <c r="B219" s="14">
        <v>78.47</v>
      </c>
      <c r="C219" s="14">
        <f t="shared" si="46"/>
        <v>0.10056100981767191</v>
      </c>
      <c r="D219" s="14">
        <v>14.67</v>
      </c>
      <c r="E219" s="14">
        <f t="shared" si="47"/>
        <v>0.125863392171911</v>
      </c>
      <c r="F219" s="14">
        <v>163.4</v>
      </c>
      <c r="G219" s="14">
        <f t="shared" si="48"/>
        <v>0</v>
      </c>
      <c r="H219" s="14">
        <v>267.01</v>
      </c>
      <c r="I219" s="14">
        <f t="shared" si="49"/>
        <v>6.0952835061787169E-2</v>
      </c>
      <c r="J219" s="14">
        <v>176.37</v>
      </c>
      <c r="K219" s="14">
        <f t="shared" si="50"/>
        <v>8.512087163772275E-4</v>
      </c>
      <c r="L219" s="14">
        <v>310.68</v>
      </c>
      <c r="M219" s="14">
        <f t="shared" si="51"/>
        <v>2.3556155898922793E-2</v>
      </c>
      <c r="N219" s="14">
        <v>44.78</v>
      </c>
      <c r="O219" s="14">
        <f t="shared" si="52"/>
        <v>-4.5202558635394352E-2</v>
      </c>
      <c r="P219" s="14">
        <v>38.6</v>
      </c>
      <c r="Q219" s="14">
        <f t="shared" si="53"/>
        <v>1.9007391763463444E-2</v>
      </c>
      <c r="R219" s="14">
        <v>234.97</v>
      </c>
      <c r="S219" s="14">
        <f t="shared" si="54"/>
        <v>0.10014982676280537</v>
      </c>
      <c r="T219" s="14">
        <v>67</v>
      </c>
      <c r="U219" s="14">
        <f t="shared" si="45"/>
        <v>-1.8315018315018361E-2</v>
      </c>
      <c r="V219" s="14">
        <v>70021.351563000004</v>
      </c>
      <c r="W219">
        <f t="shared" si="55"/>
        <v>4.0917404223893505E-2</v>
      </c>
      <c r="Z219">
        <f t="shared" si="56"/>
        <v>5.6883283261627171E-2</v>
      </c>
      <c r="AA219">
        <f t="shared" si="57"/>
        <v>5.8010437452033776E-2</v>
      </c>
      <c r="AB219">
        <f t="shared" si="58"/>
        <v>4.4534318901794847E-3</v>
      </c>
      <c r="AC219">
        <f t="shared" si="59"/>
        <v>-5.5805860805860953E-3</v>
      </c>
    </row>
    <row r="220" spans="1:29" x14ac:dyDescent="0.75">
      <c r="A220" s="1">
        <v>45412.041250000002</v>
      </c>
      <c r="B220" s="14">
        <v>71.78</v>
      </c>
      <c r="C220" s="14">
        <f t="shared" si="46"/>
        <v>-8.5255511660507155E-2</v>
      </c>
      <c r="D220" s="14">
        <v>13.57</v>
      </c>
      <c r="E220" s="14">
        <f t="shared" si="47"/>
        <v>-7.498295841854119E-2</v>
      </c>
      <c r="F220" s="14">
        <v>155</v>
      </c>
      <c r="G220" s="14">
        <f t="shared" si="48"/>
        <v>-5.1407588739290078E-2</v>
      </c>
      <c r="H220" s="14">
        <v>312.02</v>
      </c>
      <c r="I220" s="14">
        <f t="shared" si="49"/>
        <v>0.1685704655256357</v>
      </c>
      <c r="J220" s="14">
        <v>169.55</v>
      </c>
      <c r="K220" s="14">
        <f t="shared" si="50"/>
        <v>-3.8668707830129767E-2</v>
      </c>
      <c r="L220" s="14">
        <v>336.46</v>
      </c>
      <c r="M220" s="14">
        <f t="shared" si="51"/>
        <v>8.297927127591076E-2</v>
      </c>
      <c r="N220" s="14">
        <v>48.98</v>
      </c>
      <c r="O220" s="14">
        <f t="shared" si="52"/>
        <v>9.3791871371147639E-2</v>
      </c>
      <c r="P220" s="14">
        <v>35.659999999999997</v>
      </c>
      <c r="Q220" s="14">
        <f t="shared" si="53"/>
        <v>-7.6165803108808383E-2</v>
      </c>
      <c r="R220" s="14">
        <v>248.61</v>
      </c>
      <c r="S220" s="14">
        <f t="shared" si="54"/>
        <v>5.8049963825169248E-2</v>
      </c>
      <c r="T220" s="14">
        <v>63.92</v>
      </c>
      <c r="U220" s="14">
        <f t="shared" si="45"/>
        <v>-4.5970149253731329E-2</v>
      </c>
      <c r="V220" s="14">
        <v>68866.28125</v>
      </c>
      <c r="W220">
        <f t="shared" si="55"/>
        <v>6.0399072857189595E-3</v>
      </c>
      <c r="Z220">
        <f t="shared" si="56"/>
        <v>-6.6412397681111374E-2</v>
      </c>
      <c r="AA220">
        <f t="shared" si="57"/>
        <v>-3.4559645535105633E-2</v>
      </c>
      <c r="AB220">
        <f t="shared" si="58"/>
        <v>-1.7845647668393805E-2</v>
      </c>
      <c r="AC220">
        <f t="shared" si="59"/>
        <v>-1.4007104477611937E-2</v>
      </c>
    </row>
    <row r="221" spans="1:29" x14ac:dyDescent="0.75">
      <c r="A221" s="1">
        <v>45443.041250000002</v>
      </c>
      <c r="B221" s="14">
        <v>63.89</v>
      </c>
      <c r="C221" s="14">
        <f t="shared" si="46"/>
        <v>-0.10991919754806356</v>
      </c>
      <c r="D221" s="14">
        <v>12.77</v>
      </c>
      <c r="E221" s="14">
        <f t="shared" si="47"/>
        <v>-5.8953574060427449E-2</v>
      </c>
      <c r="F221" s="14">
        <v>152</v>
      </c>
      <c r="G221" s="14">
        <f t="shared" si="48"/>
        <v>-1.9354838709677469E-2</v>
      </c>
      <c r="H221" s="14">
        <v>319.23</v>
      </c>
      <c r="I221" s="14">
        <f t="shared" si="49"/>
        <v>2.3107493109416177E-2</v>
      </c>
      <c r="J221" s="14">
        <v>161.37</v>
      </c>
      <c r="K221" s="14">
        <f t="shared" si="50"/>
        <v>-4.8245355352403485E-2</v>
      </c>
      <c r="L221" s="14">
        <v>329.3</v>
      </c>
      <c r="M221" s="14">
        <f t="shared" si="51"/>
        <v>-2.1280389942340716E-2</v>
      </c>
      <c r="N221" s="14">
        <v>51.39</v>
      </c>
      <c r="O221" s="14">
        <f t="shared" si="52"/>
        <v>4.9203756635361362E-2</v>
      </c>
      <c r="P221" s="14">
        <v>35.590000000000003</v>
      </c>
      <c r="Q221" s="14">
        <f t="shared" si="53"/>
        <v>-1.9629837352774793E-3</v>
      </c>
      <c r="R221" s="14">
        <v>268.52</v>
      </c>
      <c r="S221" s="14">
        <f t="shared" si="54"/>
        <v>8.0085274124130024E-2</v>
      </c>
      <c r="T221" s="14">
        <v>63.79</v>
      </c>
      <c r="U221" s="14">
        <f t="shared" si="45"/>
        <v>-2.0337922403004249E-3</v>
      </c>
      <c r="V221" s="14">
        <v>68587.742188000004</v>
      </c>
      <c r="W221">
        <f t="shared" si="55"/>
        <v>3.9025740941914799E-2</v>
      </c>
      <c r="Z221">
        <f t="shared" si="56"/>
        <v>-2.8251325869246061E-2</v>
      </c>
      <c r="AA221">
        <f t="shared" si="57"/>
        <v>-2.717170228445101E-2</v>
      </c>
      <c r="AB221">
        <f t="shared" si="58"/>
        <v>-4.5992708917551338E-4</v>
      </c>
      <c r="AC221">
        <f t="shared" si="59"/>
        <v>-6.1969649561953953E-4</v>
      </c>
    </row>
    <row r="222" spans="1:29" x14ac:dyDescent="0.75">
      <c r="A222" s="1">
        <v>45471.041250000002</v>
      </c>
      <c r="B222" s="14">
        <v>64.61</v>
      </c>
      <c r="C222" s="14">
        <f t="shared" si="46"/>
        <v>1.1269369228361192E-2</v>
      </c>
      <c r="D222" s="14">
        <v>11.71</v>
      </c>
      <c r="E222" s="14">
        <f t="shared" si="47"/>
        <v>-8.3007047768206665E-2</v>
      </c>
      <c r="F222" s="14">
        <v>152</v>
      </c>
      <c r="G222" s="14">
        <f t="shared" si="48"/>
        <v>0</v>
      </c>
      <c r="H222" s="14">
        <v>286.18</v>
      </c>
      <c r="I222" s="14">
        <f t="shared" si="49"/>
        <v>-0.10353036995269871</v>
      </c>
      <c r="J222" s="14">
        <v>142.56</v>
      </c>
      <c r="K222" s="14">
        <f t="shared" si="50"/>
        <v>-0.1165644171779141</v>
      </c>
      <c r="L222" s="14">
        <v>333.79</v>
      </c>
      <c r="M222" s="14">
        <f t="shared" si="51"/>
        <v>1.3634983297904579E-2</v>
      </c>
      <c r="N222" s="14">
        <v>52.89</v>
      </c>
      <c r="O222" s="14">
        <f t="shared" si="52"/>
        <v>2.9188558085230687E-2</v>
      </c>
      <c r="P222" s="14">
        <v>31.65</v>
      </c>
      <c r="Q222" s="14">
        <f t="shared" si="53"/>
        <v>-0.11070525428491163</v>
      </c>
      <c r="R222" s="14">
        <v>237.75</v>
      </c>
      <c r="S222" s="14">
        <f t="shared" si="54"/>
        <v>-0.11459109191121697</v>
      </c>
      <c r="T222" s="14">
        <v>62.26</v>
      </c>
      <c r="U222" s="14">
        <f t="shared" si="45"/>
        <v>-2.3984950619219347E-2</v>
      </c>
      <c r="V222" s="14">
        <v>68137.03125</v>
      </c>
      <c r="W222">
        <f t="shared" si="55"/>
        <v>-6.9288021265218158E-2</v>
      </c>
      <c r="Z222">
        <f t="shared" si="56"/>
        <v>-7.1504403848997367E-2</v>
      </c>
      <c r="AA222">
        <f t="shared" si="57"/>
        <v>-3.8257948316366447E-2</v>
      </c>
      <c r="AB222">
        <f t="shared" si="58"/>
        <v>-2.5938241078954795E-2</v>
      </c>
      <c r="AC222">
        <f t="shared" si="59"/>
        <v>-7.3082144536761361E-3</v>
      </c>
    </row>
    <row r="223" spans="1:29" x14ac:dyDescent="0.75">
      <c r="A223" s="1">
        <v>45504.041250000002</v>
      </c>
      <c r="B223" s="14">
        <v>65.17</v>
      </c>
      <c r="C223" s="14">
        <f t="shared" si="46"/>
        <v>8.6673889490791467E-3</v>
      </c>
      <c r="D223" s="14">
        <v>12.04</v>
      </c>
      <c r="E223" s="14">
        <f t="shared" si="47"/>
        <v>2.8181041844577148E-2</v>
      </c>
      <c r="F223" s="14">
        <v>152</v>
      </c>
      <c r="G223" s="14">
        <f t="shared" si="48"/>
        <v>0</v>
      </c>
      <c r="H223" s="14">
        <v>297.25</v>
      </c>
      <c r="I223" s="14">
        <f t="shared" si="49"/>
        <v>3.8681948424068802E-2</v>
      </c>
      <c r="J223" s="14">
        <v>139.61000000000001</v>
      </c>
      <c r="K223" s="14">
        <f t="shared" si="50"/>
        <v>-2.0693041526374745E-2</v>
      </c>
      <c r="L223" s="14">
        <v>348.32</v>
      </c>
      <c r="M223" s="14">
        <f t="shared" si="51"/>
        <v>4.3530363402138894E-2</v>
      </c>
      <c r="N223" s="14">
        <v>54.3</v>
      </c>
      <c r="O223" s="14">
        <f t="shared" si="52"/>
        <v>2.6659103800340311E-2</v>
      </c>
      <c r="P223" s="14">
        <v>33.14</v>
      </c>
      <c r="Q223" s="14">
        <f t="shared" si="53"/>
        <v>4.7077409162717299E-2</v>
      </c>
      <c r="R223" s="14">
        <v>272.18</v>
      </c>
      <c r="S223" s="14">
        <f t="shared" si="54"/>
        <v>0.14481598317560462</v>
      </c>
      <c r="T223" s="14">
        <v>61.96</v>
      </c>
      <c r="U223" s="14">
        <f t="shared" si="45"/>
        <v>-4.8185030517186034E-3</v>
      </c>
      <c r="V223" s="14">
        <v>68890.328125</v>
      </c>
      <c r="W223">
        <f t="shared" si="55"/>
        <v>6.999874006194301E-2</v>
      </c>
      <c r="Z223">
        <f t="shared" si="56"/>
        <v>2.2550681273131614E-2</v>
      </c>
      <c r="AA223">
        <f t="shared" si="57"/>
        <v>1.2988642186165607E-2</v>
      </c>
      <c r="AB223">
        <f t="shared" si="58"/>
        <v>1.1030236966824664E-2</v>
      </c>
      <c r="AC223">
        <f t="shared" si="59"/>
        <v>-1.4681978798586587E-3</v>
      </c>
    </row>
    <row r="224" spans="1:29" x14ac:dyDescent="0.75">
      <c r="A224" s="1">
        <v>45534.041250000002</v>
      </c>
      <c r="B224" s="14">
        <v>70.47</v>
      </c>
      <c r="C224" s="14">
        <f t="shared" si="46"/>
        <v>8.1325763388061967E-2</v>
      </c>
      <c r="D224" s="14">
        <v>11.97</v>
      </c>
      <c r="E224" s="14">
        <f t="shared" si="47"/>
        <v>-5.8139534883719923E-3</v>
      </c>
      <c r="F224" s="14">
        <v>152</v>
      </c>
      <c r="G224" s="14">
        <f t="shared" si="48"/>
        <v>0</v>
      </c>
      <c r="H224" s="14">
        <v>348.77</v>
      </c>
      <c r="I224" s="14">
        <f t="shared" si="49"/>
        <v>0.17332211942809073</v>
      </c>
      <c r="J224" s="14">
        <v>136.21</v>
      </c>
      <c r="K224" s="14">
        <f t="shared" si="50"/>
        <v>-2.4353556335506066E-2</v>
      </c>
      <c r="L224" s="14">
        <v>361.43</v>
      </c>
      <c r="M224" s="14">
        <f t="shared" si="51"/>
        <v>3.7637804317868673E-2</v>
      </c>
      <c r="N224" s="14">
        <v>57.37</v>
      </c>
      <c r="O224" s="14">
        <f t="shared" si="52"/>
        <v>5.6537753222836162E-2</v>
      </c>
      <c r="P224" s="14">
        <v>32.19</v>
      </c>
      <c r="Q224" s="14">
        <f t="shared" si="53"/>
        <v>-2.8666264333132241E-2</v>
      </c>
      <c r="R224" s="14">
        <v>236.34</v>
      </c>
      <c r="S224" s="14">
        <f t="shared" si="54"/>
        <v>-0.13167756631640826</v>
      </c>
      <c r="T224" s="14">
        <v>62.77</v>
      </c>
      <c r="U224" s="14">
        <f t="shared" si="45"/>
        <v>1.3072950290510033E-2</v>
      </c>
      <c r="V224" s="14">
        <v>68285.820313000004</v>
      </c>
      <c r="W224">
        <f t="shared" si="55"/>
        <v>-5.9302308012949112E-2</v>
      </c>
      <c r="Z224">
        <f t="shared" si="56"/>
        <v>-5.412828942525128E-3</v>
      </c>
      <c r="AA224">
        <f t="shared" si="57"/>
        <v>-2.6796511627906511E-3</v>
      </c>
      <c r="AB224">
        <f t="shared" si="58"/>
        <v>-6.716505733252884E-3</v>
      </c>
      <c r="AC224">
        <f t="shared" si="59"/>
        <v>3.9833279535184075E-3</v>
      </c>
    </row>
    <row r="225" spans="1:29" x14ac:dyDescent="0.75">
      <c r="A225" s="1">
        <v>45565.041250000002</v>
      </c>
      <c r="B225" s="14">
        <v>67.760000000000005</v>
      </c>
      <c r="C225" s="14">
        <f t="shared" si="46"/>
        <v>-3.8456080601674381E-2</v>
      </c>
      <c r="D225" s="14">
        <v>12.06</v>
      </c>
      <c r="E225" s="14">
        <f t="shared" si="47"/>
        <v>7.5187969924812581E-3</v>
      </c>
      <c r="F225" s="14">
        <v>152</v>
      </c>
      <c r="G225" s="14">
        <f t="shared" si="48"/>
        <v>0</v>
      </c>
      <c r="H225" s="14">
        <v>341.9</v>
      </c>
      <c r="I225" s="14">
        <f t="shared" si="49"/>
        <v>-1.9697795108524208E-2</v>
      </c>
      <c r="J225" s="14">
        <v>139.5</v>
      </c>
      <c r="K225" s="14">
        <f t="shared" si="50"/>
        <v>2.4153880038176201E-2</v>
      </c>
      <c r="L225" s="14">
        <v>365.63</v>
      </c>
      <c r="M225" s="14">
        <f t="shared" si="51"/>
        <v>1.1620507428824256E-2</v>
      </c>
      <c r="N225" s="14">
        <v>54.53</v>
      </c>
      <c r="O225" s="14">
        <f t="shared" si="52"/>
        <v>-4.9503224681889391E-2</v>
      </c>
      <c r="P225" s="14">
        <v>31.84</v>
      </c>
      <c r="Q225" s="14">
        <f t="shared" si="53"/>
        <v>-1.0872941907424605E-2</v>
      </c>
      <c r="R225" s="14">
        <v>261.33999999999997</v>
      </c>
      <c r="S225" s="14">
        <f t="shared" si="54"/>
        <v>0.10577980875010562</v>
      </c>
      <c r="T225" s="14">
        <v>59.17</v>
      </c>
      <c r="U225" s="14">
        <f t="shared" si="45"/>
        <v>-5.7352238330412586E-2</v>
      </c>
      <c r="V225" s="14">
        <v>67392.1875</v>
      </c>
      <c r="W225">
        <f t="shared" si="55"/>
        <v>2.4213785209846517E-2</v>
      </c>
      <c r="Z225">
        <f t="shared" si="56"/>
        <v>-1.6557343774351689E-2</v>
      </c>
      <c r="AA225">
        <f t="shared" si="57"/>
        <v>3.4654135338346116E-3</v>
      </c>
      <c r="AB225">
        <f t="shared" si="58"/>
        <v>-2.5475302889095852E-3</v>
      </c>
      <c r="AC225">
        <f t="shared" si="59"/>
        <v>-1.7475227019276715E-2</v>
      </c>
    </row>
    <row r="226" spans="1:29" x14ac:dyDescent="0.75">
      <c r="A226" s="1">
        <v>45596.041250000002</v>
      </c>
      <c r="B226" s="14">
        <v>62.16</v>
      </c>
      <c r="C226" s="14">
        <f t="shared" si="46"/>
        <v>-8.2644628099173723E-2</v>
      </c>
      <c r="D226" s="14">
        <v>10.54</v>
      </c>
      <c r="E226" s="14">
        <f t="shared" si="47"/>
        <v>-0.12603648424543956</v>
      </c>
      <c r="F226" s="14">
        <v>149.99</v>
      </c>
      <c r="G226" s="14">
        <f t="shared" si="48"/>
        <v>-1.3223684210526221E-2</v>
      </c>
      <c r="H226" s="14">
        <v>346.96</v>
      </c>
      <c r="I226" s="14">
        <f t="shared" si="49"/>
        <v>1.4799649020181382E-2</v>
      </c>
      <c r="J226" s="14">
        <v>139.33000000000001</v>
      </c>
      <c r="K226" s="14">
        <f t="shared" si="50"/>
        <v>-1.2186379928315061E-3</v>
      </c>
      <c r="L226" s="14">
        <v>345.64</v>
      </c>
      <c r="M226" s="14">
        <f t="shared" si="51"/>
        <v>-5.4672756611875428E-2</v>
      </c>
      <c r="N226" s="14">
        <v>52.34</v>
      </c>
      <c r="O226" s="14">
        <f t="shared" si="52"/>
        <v>-4.0161379057399582E-2</v>
      </c>
      <c r="P226" s="14">
        <v>28.73</v>
      </c>
      <c r="Q226" s="14">
        <f t="shared" si="53"/>
        <v>-9.7675879396984855E-2</v>
      </c>
      <c r="R226" s="14">
        <v>314.31</v>
      </c>
      <c r="S226" s="14">
        <f t="shared" si="54"/>
        <v>0.20268615596540918</v>
      </c>
      <c r="T226" s="14">
        <v>55.02</v>
      </c>
      <c r="U226" s="14">
        <f t="shared" si="45"/>
        <v>-7.0136893696129743E-2</v>
      </c>
      <c r="V226" s="14">
        <v>66141.382813000004</v>
      </c>
      <c r="W226">
        <f t="shared" si="55"/>
        <v>6.6274631134639717E-2</v>
      </c>
      <c r="Z226">
        <f t="shared" si="56"/>
        <v>-0.10234638564064737</v>
      </c>
      <c r="AA226">
        <f t="shared" si="57"/>
        <v>-5.8090215588723092E-2</v>
      </c>
      <c r="AB226">
        <f t="shared" si="58"/>
        <v>-2.2885458542713552E-2</v>
      </c>
      <c r="AC226">
        <f t="shared" si="59"/>
        <v>-2.1370711509210733E-2</v>
      </c>
    </row>
    <row r="227" spans="1:29" x14ac:dyDescent="0.75">
      <c r="A227" s="1">
        <v>45625.041250000002</v>
      </c>
      <c r="B227" s="14">
        <v>59.77</v>
      </c>
      <c r="C227" s="14">
        <f t="shared" si="46"/>
        <v>-3.8449163449163382E-2</v>
      </c>
      <c r="D227" s="14">
        <v>11.14</v>
      </c>
      <c r="E227" s="14">
        <f t="shared" si="47"/>
        <v>5.6925996204933771E-2</v>
      </c>
      <c r="F227" s="14">
        <v>150</v>
      </c>
      <c r="G227" s="14">
        <f t="shared" si="48"/>
        <v>6.6671111407456962E-5</v>
      </c>
      <c r="H227" s="14">
        <v>375.31</v>
      </c>
      <c r="I227" s="14">
        <f t="shared" si="49"/>
        <v>8.1709707170855461E-2</v>
      </c>
      <c r="J227" s="14">
        <v>135.33000000000001</v>
      </c>
      <c r="K227" s="14">
        <f t="shared" si="50"/>
        <v>-2.8708820785186218E-2</v>
      </c>
      <c r="L227" s="14">
        <v>344.96</v>
      </c>
      <c r="M227" s="14">
        <f t="shared" si="51"/>
        <v>-1.9673648883231643E-3</v>
      </c>
      <c r="N227" s="14">
        <v>50.67</v>
      </c>
      <c r="O227" s="14">
        <f t="shared" si="52"/>
        <v>-3.1906763469621735E-2</v>
      </c>
      <c r="P227" s="14">
        <v>27.34</v>
      </c>
      <c r="Q227" s="14">
        <f t="shared" si="53"/>
        <v>-4.8381482770623041E-2</v>
      </c>
      <c r="R227" s="14">
        <v>293.12</v>
      </c>
      <c r="S227" s="14">
        <f t="shared" si="54"/>
        <v>-6.7417517737265786E-2</v>
      </c>
      <c r="T227" s="14">
        <v>53.9</v>
      </c>
      <c r="U227" s="14">
        <f t="shared" si="45"/>
        <v>-2.0356234096692183E-2</v>
      </c>
      <c r="V227" s="14">
        <v>65650.226563000004</v>
      </c>
      <c r="W227">
        <f t="shared" si="55"/>
        <v>-4.3886875916978985E-2</v>
      </c>
      <c r="Z227">
        <f t="shared" si="56"/>
        <v>8.6988657084348872E-3</v>
      </c>
      <c r="AA227">
        <f t="shared" si="57"/>
        <v>2.6237191650853975E-2</v>
      </c>
      <c r="AB227">
        <f t="shared" si="58"/>
        <v>-1.1335781413156979E-2</v>
      </c>
      <c r="AC227">
        <f t="shared" si="59"/>
        <v>-6.2025445292621089E-3</v>
      </c>
    </row>
    <row r="228" spans="1:29" x14ac:dyDescent="0.75">
      <c r="A228" s="1">
        <v>45657.041250000002</v>
      </c>
      <c r="B228" s="14">
        <v>55.24</v>
      </c>
      <c r="C228" s="14">
        <f t="shared" si="46"/>
        <v>-7.5790530366404596E-2</v>
      </c>
      <c r="D228" s="14">
        <v>11.68</v>
      </c>
      <c r="E228" s="14">
        <f t="shared" si="47"/>
        <v>4.8473967684021568E-2</v>
      </c>
      <c r="F228" s="14">
        <v>150</v>
      </c>
      <c r="G228" s="14">
        <f t="shared" si="48"/>
        <v>0</v>
      </c>
      <c r="H228" s="14">
        <v>366.54</v>
      </c>
      <c r="I228" s="14">
        <f t="shared" si="49"/>
        <v>-2.3367349657616332E-2</v>
      </c>
      <c r="J228" s="14">
        <v>133.97</v>
      </c>
      <c r="K228" s="14">
        <f t="shared" si="50"/>
        <v>-1.0049508608586555E-2</v>
      </c>
      <c r="L228" s="14">
        <v>325.89999999999998</v>
      </c>
      <c r="M228" s="14">
        <f t="shared" si="51"/>
        <v>-5.5252782931354383E-2</v>
      </c>
      <c r="N228" s="14">
        <v>54.72</v>
      </c>
      <c r="O228" s="14">
        <f t="shared" si="52"/>
        <v>7.9928952042628731E-2</v>
      </c>
      <c r="P228" s="14">
        <v>29.4</v>
      </c>
      <c r="Q228" s="14">
        <f t="shared" si="53"/>
        <v>7.5347476225310794E-2</v>
      </c>
      <c r="R228" s="14">
        <v>266.2</v>
      </c>
      <c r="S228" s="14">
        <f t="shared" si="54"/>
        <v>-9.1839519650655066E-2</v>
      </c>
      <c r="T228" s="14">
        <v>54.89</v>
      </c>
      <c r="U228" s="14">
        <f t="shared" si="45"/>
        <v>1.8367346938775508E-2</v>
      </c>
      <c r="V228" s="14">
        <v>65409.480469000002</v>
      </c>
      <c r="W228">
        <f t="shared" si="55"/>
        <v>-3.6736086355939779E-2</v>
      </c>
      <c r="Z228">
        <f t="shared" si="56"/>
        <v>4.5592095997400758E-2</v>
      </c>
      <c r="AA228">
        <f t="shared" si="57"/>
        <v>2.2341651705565541E-2</v>
      </c>
      <c r="AB228">
        <f t="shared" si="58"/>
        <v>1.7653913679590318E-2</v>
      </c>
      <c r="AC228">
        <f t="shared" si="59"/>
        <v>5.5965306122448977E-3</v>
      </c>
    </row>
    <row r="229" spans="1:29" x14ac:dyDescent="0.75">
      <c r="A229" s="1">
        <v>45688.041250000002</v>
      </c>
      <c r="B229" s="14">
        <v>54.41</v>
      </c>
      <c r="C229" s="14">
        <f t="shared" si="46"/>
        <v>-1.5025343953656844E-2</v>
      </c>
      <c r="D229" s="14">
        <v>12.3</v>
      </c>
      <c r="E229" s="14">
        <f t="shared" si="47"/>
        <v>5.3082191780821963E-2</v>
      </c>
      <c r="F229" s="14">
        <v>145.9</v>
      </c>
      <c r="G229" s="14">
        <f t="shared" si="48"/>
        <v>-2.7333333333333321E-2</v>
      </c>
      <c r="H229" s="14">
        <v>383</v>
      </c>
      <c r="I229" s="14">
        <f t="shared" si="49"/>
        <v>4.4906422218584652E-2</v>
      </c>
      <c r="J229" s="14">
        <v>143.19999999999999</v>
      </c>
      <c r="K229" s="14">
        <f t="shared" si="50"/>
        <v>6.8896021497349968E-2</v>
      </c>
      <c r="L229" s="14">
        <v>359.13</v>
      </c>
      <c r="M229" s="14">
        <f t="shared" si="51"/>
        <v>0.10196379257440946</v>
      </c>
      <c r="N229" s="14">
        <v>55.63</v>
      </c>
      <c r="O229" s="14">
        <f t="shared" si="52"/>
        <v>1.6630116959064356E-2</v>
      </c>
      <c r="P229" s="14">
        <v>30.98</v>
      </c>
      <c r="Q229" s="14">
        <f t="shared" si="53"/>
        <v>5.3741496598639582E-2</v>
      </c>
      <c r="R229" s="14">
        <v>293.14999999999998</v>
      </c>
      <c r="S229" s="14">
        <f t="shared" si="54"/>
        <v>0.10123966942148765</v>
      </c>
      <c r="T229" s="14">
        <v>53.72</v>
      </c>
      <c r="U229" s="14">
        <f t="shared" si="45"/>
        <v>-2.1315357988704764E-2</v>
      </c>
      <c r="V229" s="14">
        <v>64821.609375</v>
      </c>
      <c r="W229">
        <f t="shared" si="55"/>
        <v>3.9962155716391445E-2</v>
      </c>
      <c r="Z229">
        <f t="shared" si="56"/>
        <v>3.0562425265683757E-2</v>
      </c>
      <c r="AA229">
        <f t="shared" si="57"/>
        <v>2.4465582191780841E-2</v>
      </c>
      <c r="AB229">
        <f t="shared" si="58"/>
        <v>1.2591632653061255E-2</v>
      </c>
      <c r="AC229">
        <f t="shared" si="59"/>
        <v>-6.4947895791583419E-3</v>
      </c>
    </row>
    <row r="230" spans="1:29" x14ac:dyDescent="0.75">
      <c r="A230" s="1">
        <v>45716.041250000002</v>
      </c>
      <c r="B230" s="14">
        <v>55.13</v>
      </c>
      <c r="C230" s="14">
        <f t="shared" si="46"/>
        <v>1.3232861606322421E-2</v>
      </c>
      <c r="D230" s="14">
        <v>12.63</v>
      </c>
      <c r="E230" s="14">
        <f t="shared" si="47"/>
        <v>2.6829268292682951E-2</v>
      </c>
      <c r="F230" s="14">
        <v>148</v>
      </c>
      <c r="G230" s="14">
        <f t="shared" si="48"/>
        <v>1.4393420150788261E-2</v>
      </c>
      <c r="H230" s="14">
        <v>387.44</v>
      </c>
      <c r="I230" s="14">
        <f t="shared" si="49"/>
        <v>1.1592689295039094E-2</v>
      </c>
      <c r="J230" s="14">
        <v>144.84</v>
      </c>
      <c r="K230" s="14">
        <f t="shared" si="50"/>
        <v>1.1452513966480504E-2</v>
      </c>
      <c r="L230" s="14">
        <v>354.91</v>
      </c>
      <c r="M230" s="14">
        <f t="shared" si="51"/>
        <v>-1.1750619552808095E-2</v>
      </c>
      <c r="N230" s="14">
        <v>53.74</v>
      </c>
      <c r="O230" s="14">
        <f t="shared" si="52"/>
        <v>-3.3974474204565897E-2</v>
      </c>
      <c r="P230" s="14">
        <v>30.74</v>
      </c>
      <c r="Q230" s="14">
        <f t="shared" si="53"/>
        <v>-7.7469335054874966E-3</v>
      </c>
      <c r="R230" s="14">
        <v>314.45</v>
      </c>
      <c r="S230" s="14">
        <f t="shared" si="54"/>
        <v>7.2659048268804316E-2</v>
      </c>
      <c r="T230" s="14">
        <v>54.38</v>
      </c>
      <c r="U230" s="14">
        <f t="shared" si="45"/>
        <v>1.2285927029039634E-2</v>
      </c>
      <c r="V230" s="14">
        <v>67954.546875</v>
      </c>
      <c r="W230">
        <f t="shared" si="55"/>
        <v>4.2472487648921975E-2</v>
      </c>
      <c r="Z230">
        <f t="shared" si="56"/>
        <v>1.4294025201510227E-2</v>
      </c>
      <c r="AA230">
        <f t="shared" si="57"/>
        <v>1.2365609756097571E-2</v>
      </c>
      <c r="AB230">
        <f t="shared" si="58"/>
        <v>-1.8151065203357206E-3</v>
      </c>
      <c r="AC230">
        <f t="shared" si="59"/>
        <v>3.7435219657483768E-3</v>
      </c>
    </row>
    <row r="231" spans="1:29" x14ac:dyDescent="0.75">
      <c r="A231" s="1">
        <v>45747.041250000002</v>
      </c>
      <c r="B231" s="14">
        <v>55.64</v>
      </c>
      <c r="C231" s="14">
        <f t="shared" si="46"/>
        <v>9.2508615998547761E-3</v>
      </c>
      <c r="D231" s="14">
        <v>11.55</v>
      </c>
      <c r="E231" s="14">
        <f t="shared" si="47"/>
        <v>-8.5510688836104465E-2</v>
      </c>
      <c r="F231" s="14">
        <v>155</v>
      </c>
      <c r="G231" s="14">
        <f t="shared" si="48"/>
        <v>4.7297297297297369E-2</v>
      </c>
      <c r="H231" s="14">
        <v>378.4</v>
      </c>
      <c r="I231" s="14">
        <f t="shared" si="49"/>
        <v>-2.3332645054718215E-2</v>
      </c>
      <c r="J231" s="14">
        <v>141.93</v>
      </c>
      <c r="K231" s="14">
        <f t="shared" si="50"/>
        <v>-2.0091135045567476E-2</v>
      </c>
      <c r="L231" s="14">
        <v>369.52</v>
      </c>
      <c r="M231" s="14">
        <f t="shared" si="51"/>
        <v>4.1165365867402937E-2</v>
      </c>
      <c r="N231" s="14">
        <v>55.73</v>
      </c>
      <c r="O231" s="14">
        <f t="shared" si="52"/>
        <v>3.70301451432824E-2</v>
      </c>
      <c r="P231" s="14">
        <v>33.549999999999997</v>
      </c>
      <c r="Q231" s="14">
        <f t="shared" si="53"/>
        <v>9.1411841249186665E-2</v>
      </c>
      <c r="R231" s="14">
        <v>379.7</v>
      </c>
      <c r="S231" s="14">
        <f t="shared" si="54"/>
        <v>0.20750516775321981</v>
      </c>
      <c r="T231" s="14">
        <v>56.36</v>
      </c>
      <c r="U231" s="14">
        <f t="shared" si="45"/>
        <v>3.6410445016550108E-2</v>
      </c>
      <c r="V231" s="14">
        <v>68207.601563000004</v>
      </c>
      <c r="W231">
        <f t="shared" si="55"/>
        <v>0.12195780638488496</v>
      </c>
      <c r="Z231">
        <f t="shared" si="56"/>
        <v>-6.8998194833332881E-3</v>
      </c>
      <c r="AA231">
        <f t="shared" si="57"/>
        <v>-3.9411876484560543E-2</v>
      </c>
      <c r="AB231">
        <f t="shared" si="58"/>
        <v>2.1417794404684436E-2</v>
      </c>
      <c r="AC231">
        <f t="shared" si="59"/>
        <v>1.1094262596542819E-2</v>
      </c>
    </row>
    <row r="232" spans="1:29" x14ac:dyDescent="0.75">
      <c r="A232" s="1">
        <v>45777.041250000002</v>
      </c>
      <c r="B232" s="14">
        <v>59.63</v>
      </c>
      <c r="C232" s="14">
        <f t="shared" si="46"/>
        <v>7.1710999281092702E-2</v>
      </c>
      <c r="D232" s="14">
        <v>12.1</v>
      </c>
      <c r="E232" s="14">
        <f t="shared" si="47"/>
        <v>4.761904761904745E-2</v>
      </c>
      <c r="F232" s="14">
        <v>160</v>
      </c>
      <c r="G232" s="14">
        <f t="shared" si="48"/>
        <v>3.2258064516129004E-2</v>
      </c>
      <c r="H232" s="14">
        <v>398.16</v>
      </c>
      <c r="I232" s="14">
        <f t="shared" si="49"/>
        <v>5.2219873150105789E-2</v>
      </c>
      <c r="J232" s="14">
        <v>168.52</v>
      </c>
      <c r="K232" s="14">
        <f t="shared" si="50"/>
        <v>0.18734587472697806</v>
      </c>
      <c r="L232" s="14">
        <v>374.76</v>
      </c>
      <c r="M232" s="14">
        <f t="shared" si="51"/>
        <v>1.4180558562459478E-2</v>
      </c>
      <c r="N232" s="14">
        <v>55.87</v>
      </c>
      <c r="O232" s="14">
        <f t="shared" si="52"/>
        <v>2.5121119684192728E-3</v>
      </c>
      <c r="P232" s="14">
        <v>34.57</v>
      </c>
      <c r="Q232" s="14">
        <f t="shared" si="53"/>
        <v>3.0402384500745283E-2</v>
      </c>
      <c r="R232" s="14">
        <v>391.09</v>
      </c>
      <c r="S232" s="14">
        <f t="shared" si="54"/>
        <v>2.9997366341848686E-2</v>
      </c>
      <c r="T232" s="14">
        <v>62.15</v>
      </c>
      <c r="U232" s="14">
        <f t="shared" si="45"/>
        <v>0.10273243435060331</v>
      </c>
      <c r="V232" s="14">
        <v>68482.9375</v>
      </c>
      <c r="W232">
        <f t="shared" si="55"/>
        <v>6.6364900346225997E-2</v>
      </c>
      <c r="Z232">
        <f t="shared" si="56"/>
        <v>6.0373470482772418E-2</v>
      </c>
      <c r="AA232">
        <f t="shared" si="57"/>
        <v>2.1947619047618969E-2</v>
      </c>
      <c r="AB232">
        <f t="shared" si="58"/>
        <v>7.1232786885246204E-3</v>
      </c>
      <c r="AC232">
        <f t="shared" si="59"/>
        <v>3.1302572746628829E-2</v>
      </c>
    </row>
    <row r="233" spans="1:29" x14ac:dyDescent="0.75">
      <c r="A233" s="1">
        <v>45807.041250000002</v>
      </c>
      <c r="B233" s="14">
        <v>54.21</v>
      </c>
      <c r="C233" s="14">
        <f t="shared" si="46"/>
        <v>-9.0893845379842353E-2</v>
      </c>
      <c r="D233" s="14">
        <v>13.28</v>
      </c>
      <c r="E233" s="14">
        <f t="shared" si="47"/>
        <v>9.7520661157024735E-2</v>
      </c>
      <c r="F233" s="14">
        <v>161</v>
      </c>
      <c r="G233" s="14">
        <f t="shared" si="48"/>
        <v>6.2500000000000888E-3</v>
      </c>
      <c r="H233" s="14">
        <v>445.94</v>
      </c>
      <c r="I233" s="14">
        <f t="shared" si="49"/>
        <v>0.12000200924251558</v>
      </c>
      <c r="J233" s="14">
        <v>171.46</v>
      </c>
      <c r="K233" s="14">
        <f t="shared" si="50"/>
        <v>1.7446000474721002E-2</v>
      </c>
      <c r="L233" s="14">
        <v>365.51</v>
      </c>
      <c r="M233" s="14">
        <f t="shared" si="51"/>
        <v>-2.4682463443270408E-2</v>
      </c>
      <c r="N233" s="14">
        <v>54.67</v>
      </c>
      <c r="O233" s="14">
        <f t="shared" si="52"/>
        <v>-2.1478432074458542E-2</v>
      </c>
      <c r="P233" s="14">
        <v>34.450000000000003</v>
      </c>
      <c r="Q233" s="14">
        <f t="shared" si="53"/>
        <v>-3.4712178189180154E-3</v>
      </c>
      <c r="R233" s="14">
        <v>409.94</v>
      </c>
      <c r="S233" s="14">
        <f t="shared" si="54"/>
        <v>4.8198624357564723E-2</v>
      </c>
      <c r="T233" s="14">
        <v>63.7</v>
      </c>
      <c r="U233" s="14">
        <f t="shared" si="45"/>
        <v>2.4939662107803739E-2</v>
      </c>
      <c r="V233" s="14">
        <v>68304.726563000004</v>
      </c>
      <c r="W233">
        <f t="shared" si="55"/>
        <v>3.6569143232684231E-2</v>
      </c>
      <c r="Z233">
        <f t="shared" si="56"/>
        <v>5.1733081436548006E-2</v>
      </c>
      <c r="AA233">
        <f t="shared" si="57"/>
        <v>4.4947272727272697E-2</v>
      </c>
      <c r="AB233">
        <f t="shared" si="58"/>
        <v>-8.1330633497249101E-4</v>
      </c>
      <c r="AC233">
        <f t="shared" si="59"/>
        <v>7.5991150442477999E-3</v>
      </c>
    </row>
    <row r="234" spans="1:29" x14ac:dyDescent="0.75">
      <c r="A234" s="1">
        <v>45838.041250000002</v>
      </c>
      <c r="B234" s="14">
        <v>52.35</v>
      </c>
      <c r="C234" s="14">
        <f t="shared" si="46"/>
        <v>-3.4311012728278856E-2</v>
      </c>
      <c r="D234" s="14">
        <v>12.95</v>
      </c>
      <c r="E234" s="14">
        <f t="shared" si="47"/>
        <v>-2.4849397590361422E-2</v>
      </c>
      <c r="F234" s="14">
        <v>160.6</v>
      </c>
      <c r="G234" s="14">
        <f t="shared" si="48"/>
        <v>-2.4844720496894901E-3</v>
      </c>
      <c r="H234" s="14">
        <v>430.73</v>
      </c>
      <c r="I234" s="14">
        <f t="shared" si="49"/>
        <v>-3.4107727496972662E-2</v>
      </c>
      <c r="J234" s="14">
        <v>171.52</v>
      </c>
      <c r="K234" s="14">
        <f t="shared" si="50"/>
        <v>3.4993584509512843E-4</v>
      </c>
      <c r="L234" s="14">
        <v>323.77</v>
      </c>
      <c r="M234" s="14">
        <f t="shared" si="51"/>
        <v>-0.11419660200815307</v>
      </c>
      <c r="N234" s="14">
        <v>56.2</v>
      </c>
      <c r="O234" s="14">
        <f t="shared" si="52"/>
        <v>2.7986098408633531E-2</v>
      </c>
      <c r="P234" s="14">
        <v>34.33</v>
      </c>
      <c r="Q234" s="14">
        <f t="shared" si="53"/>
        <v>-3.4833091436866637E-3</v>
      </c>
      <c r="R234" s="14">
        <v>521.75</v>
      </c>
      <c r="S234" s="14">
        <f t="shared" si="54"/>
        <v>0.27274723130214173</v>
      </c>
      <c r="T234" s="14">
        <v>62.15</v>
      </c>
      <c r="U234" s="14">
        <f t="shared" si="45"/>
        <v>-2.4332810047095865E-2</v>
      </c>
      <c r="V234" s="14">
        <v>68265.109375</v>
      </c>
      <c r="W234">
        <f t="shared" si="55"/>
        <v>0.12420721062752293</v>
      </c>
      <c r="Z234">
        <f t="shared" si="56"/>
        <v>-1.9683433903113473E-2</v>
      </c>
      <c r="AA234">
        <f t="shared" si="57"/>
        <v>-1.1453087349397579E-2</v>
      </c>
      <c r="AB234">
        <f t="shared" si="58"/>
        <v>-8.161393323657853E-4</v>
      </c>
      <c r="AC234">
        <f t="shared" si="59"/>
        <v>-7.4142072213501109E-3</v>
      </c>
    </row>
    <row r="235" spans="1:29" x14ac:dyDescent="0.75">
      <c r="A235" s="1">
        <v>45869.041250000002</v>
      </c>
      <c r="B235" s="14">
        <v>54.74</v>
      </c>
      <c r="C235" s="14">
        <f t="shared" si="46"/>
        <v>4.5654250238777561E-2</v>
      </c>
      <c r="D235" s="14">
        <v>16.47</v>
      </c>
      <c r="E235" s="14">
        <f t="shared" si="47"/>
        <v>0.27181467181467189</v>
      </c>
      <c r="F235" s="14">
        <v>144.1</v>
      </c>
      <c r="G235" s="14">
        <f t="shared" si="48"/>
        <v>-0.10273972602739723</v>
      </c>
      <c r="H235" s="14">
        <v>433.39</v>
      </c>
      <c r="I235" s="14">
        <f t="shared" si="49"/>
        <v>6.1755624172914469E-3</v>
      </c>
      <c r="J235" s="14">
        <v>168.12</v>
      </c>
      <c r="K235" s="14">
        <f t="shared" si="50"/>
        <v>-1.9822761194029925E-2</v>
      </c>
      <c r="L235" s="14">
        <v>326.04000000000002</v>
      </c>
      <c r="M235" s="14">
        <f t="shared" si="51"/>
        <v>7.0111498903544511E-3</v>
      </c>
      <c r="N235" s="14">
        <v>54.8</v>
      </c>
      <c r="O235" s="14">
        <f t="shared" si="52"/>
        <v>-2.4911032028469893E-2</v>
      </c>
      <c r="P235" s="14">
        <v>35.159999999999997</v>
      </c>
      <c r="Q235" s="14">
        <f t="shared" si="53"/>
        <v>2.41771045732595E-2</v>
      </c>
      <c r="R235" s="14">
        <v>497.25</v>
      </c>
      <c r="S235" s="14">
        <f t="shared" si="54"/>
        <v>-4.6957355055103012E-2</v>
      </c>
      <c r="T235" s="14">
        <v>55.61</v>
      </c>
      <c r="U235" s="14">
        <f t="shared" si="45"/>
        <v>-0.10522928399034592</v>
      </c>
      <c r="V235" s="14">
        <v>67705.367188000004</v>
      </c>
      <c r="W235">
        <f t="shared" si="55"/>
        <v>-7.6093319522724467E-2</v>
      </c>
      <c r="Z235">
        <f t="shared" si="56"/>
        <v>9.8880715009038556E-2</v>
      </c>
      <c r="AA235">
        <f t="shared" si="57"/>
        <v>0.12527938223938226</v>
      </c>
      <c r="AB235">
        <f t="shared" si="58"/>
        <v>5.6646956015147009E-3</v>
      </c>
      <c r="AC235">
        <f t="shared" si="59"/>
        <v>-3.2063362831858407E-2</v>
      </c>
    </row>
    <row r="236" spans="1:29" x14ac:dyDescent="0.75">
      <c r="A236" s="1">
        <v>45898.041250000002</v>
      </c>
      <c r="B236" s="14">
        <v>58.05</v>
      </c>
      <c r="C236" s="14">
        <f t="shared" si="46"/>
        <v>6.0467665327000208E-2</v>
      </c>
      <c r="D236" s="14">
        <v>16.89</v>
      </c>
      <c r="E236" s="14">
        <f t="shared" si="47"/>
        <v>2.5500910746812488E-2</v>
      </c>
      <c r="F236" s="14">
        <v>145</v>
      </c>
      <c r="G236" s="14">
        <f t="shared" si="48"/>
        <v>6.2456627342124538E-3</v>
      </c>
      <c r="H236" s="14">
        <v>448.86</v>
      </c>
      <c r="I236" s="14">
        <f t="shared" si="49"/>
        <v>3.5695332148872883E-2</v>
      </c>
      <c r="J236" s="14">
        <v>170.7</v>
      </c>
      <c r="K236" s="14">
        <f t="shared" si="50"/>
        <v>1.5346181299072059E-2</v>
      </c>
      <c r="L236" s="14">
        <v>320.87</v>
      </c>
      <c r="M236" s="14">
        <f t="shared" si="51"/>
        <v>-1.585695006747645E-2</v>
      </c>
      <c r="N236" s="14">
        <v>68.8</v>
      </c>
      <c r="O236" s="14">
        <f t="shared" si="52"/>
        <v>0.25547445255474455</v>
      </c>
      <c r="P236" s="14">
        <v>35.049999999999997</v>
      </c>
      <c r="Q236" s="14">
        <f t="shared" si="53"/>
        <v>-3.1285551763367003E-3</v>
      </c>
      <c r="R236" s="14">
        <v>608.48</v>
      </c>
      <c r="S236" s="14">
        <f t="shared" si="54"/>
        <v>0.22369029663147311</v>
      </c>
      <c r="T236" s="14">
        <v>55.72</v>
      </c>
      <c r="U236" s="14">
        <f t="shared" si="45"/>
        <v>1.9780614997302326E-3</v>
      </c>
      <c r="V236" s="14">
        <v>67125.257813000004</v>
      </c>
      <c r="W236">
        <f t="shared" si="55"/>
        <v>0.11283417906560167</v>
      </c>
      <c r="Z236">
        <f t="shared" si="56"/>
        <v>1.1623064624357988E-2</v>
      </c>
      <c r="AA236">
        <f t="shared" si="57"/>
        <v>1.1753369763205875E-2</v>
      </c>
      <c r="AB236">
        <f t="shared" si="58"/>
        <v>-7.3302047781568895E-4</v>
      </c>
      <c r="AC236">
        <f t="shared" si="59"/>
        <v>6.0271533896780194E-4</v>
      </c>
    </row>
    <row r="237" spans="1:29" x14ac:dyDescent="0.75">
      <c r="A237" s="1">
        <v>45930.041250000002</v>
      </c>
      <c r="B237" s="14">
        <v>65.040000000000006</v>
      </c>
      <c r="C237" s="14">
        <f t="shared" si="46"/>
        <v>0.1204134366925067</v>
      </c>
      <c r="D237" s="14">
        <v>16.399999999999999</v>
      </c>
      <c r="E237" s="14">
        <f t="shared" si="47"/>
        <v>-2.9011249259917271E-2</v>
      </c>
      <c r="F237" s="14">
        <v>150</v>
      </c>
      <c r="G237" s="14">
        <f t="shared" si="48"/>
        <v>3.4482758620689724E-2</v>
      </c>
      <c r="H237" s="14">
        <v>432.9</v>
      </c>
      <c r="I237" s="14">
        <f t="shared" si="49"/>
        <v>-3.5556743750835507E-2</v>
      </c>
      <c r="J237" s="14">
        <v>184.48</v>
      </c>
      <c r="K237" s="14">
        <f t="shared" si="50"/>
        <v>8.0726420620972572E-2</v>
      </c>
      <c r="L237" s="14">
        <v>339.98</v>
      </c>
      <c r="M237" s="14">
        <f t="shared" si="51"/>
        <v>5.9556829868794292E-2</v>
      </c>
      <c r="N237" s="14">
        <v>67.23</v>
      </c>
      <c r="O237" s="14">
        <f t="shared" si="52"/>
        <v>-2.2819767441860317E-2</v>
      </c>
      <c r="P237" s="14">
        <v>38.74</v>
      </c>
      <c r="Q237" s="14">
        <f t="shared" si="53"/>
        <v>0.10527817403709006</v>
      </c>
      <c r="R237" s="14">
        <v>818.5</v>
      </c>
      <c r="S237" s="14">
        <f t="shared" si="54"/>
        <v>0.34515514067841169</v>
      </c>
      <c r="T237" s="14">
        <v>56.57</v>
      </c>
      <c r="U237" s="14">
        <f t="shared" si="45"/>
        <v>1.5254845656855753E-2</v>
      </c>
      <c r="V237" s="14">
        <v>66848.421875</v>
      </c>
      <c r="W237">
        <f t="shared" si="55"/>
        <v>0.18020499316763372</v>
      </c>
      <c r="Z237">
        <f t="shared" si="56"/>
        <v>1.5943542864638283E-2</v>
      </c>
      <c r="AA237">
        <f t="shared" si="57"/>
        <v>-1.3371284783895869E-2</v>
      </c>
      <c r="AB237">
        <f t="shared" si="58"/>
        <v>2.4666676176890202E-2</v>
      </c>
      <c r="AC237">
        <f t="shared" si="59"/>
        <v>4.6481514716439484E-3</v>
      </c>
    </row>
    <row r="238" spans="1:29" x14ac:dyDescent="0.75">
      <c r="A238" s="1">
        <v>45961.041250000002</v>
      </c>
      <c r="B238" s="14">
        <v>64.2</v>
      </c>
      <c r="C238" s="14">
        <f t="shared" si="46"/>
        <v>-1.291512915129156E-2</v>
      </c>
      <c r="D238" s="14">
        <v>18.88</v>
      </c>
      <c r="E238" s="14">
        <f t="shared" si="47"/>
        <v>0.15121951219512209</v>
      </c>
      <c r="F238" s="14">
        <v>152</v>
      </c>
      <c r="G238" s="14">
        <f t="shared" si="48"/>
        <v>1.3333333333333419E-2</v>
      </c>
      <c r="H238" s="14">
        <v>387.27</v>
      </c>
      <c r="I238" s="14">
        <f t="shared" si="49"/>
        <v>-0.10540540540540544</v>
      </c>
      <c r="J238" s="14">
        <v>174.85</v>
      </c>
      <c r="K238" s="14">
        <f t="shared" si="50"/>
        <v>-5.2200780572419725E-2</v>
      </c>
      <c r="L238" s="14">
        <v>315.29000000000002</v>
      </c>
      <c r="M238" s="14">
        <f t="shared" si="51"/>
        <v>-7.2621918936408014E-2</v>
      </c>
      <c r="N238" s="14">
        <v>71.260000000000005</v>
      </c>
      <c r="O238" s="14">
        <f t="shared" si="52"/>
        <v>5.9943477614160301E-2</v>
      </c>
      <c r="P238" s="14">
        <v>35.96</v>
      </c>
      <c r="Q238" s="14">
        <f t="shared" si="53"/>
        <v>-7.1760454310789923E-2</v>
      </c>
      <c r="R238" s="14">
        <v>769.09</v>
      </c>
      <c r="S238" s="14">
        <f t="shared" si="54"/>
        <v>-6.0366524129505161E-2</v>
      </c>
      <c r="T238" s="14">
        <v>61.42</v>
      </c>
      <c r="U238" s="14">
        <f t="shared" si="45"/>
        <v>8.5734488244652685E-2</v>
      </c>
      <c r="V238" s="14">
        <v>66278.007813000004</v>
      </c>
      <c r="W238">
        <f t="shared" si="55"/>
        <v>1.2683982057573762E-2</v>
      </c>
      <c r="Z238">
        <f t="shared" si="56"/>
        <v>7.900689729385936E-2</v>
      </c>
      <c r="AA238">
        <f t="shared" si="57"/>
        <v>6.969707317073176E-2</v>
      </c>
      <c r="AB238">
        <f t="shared" si="58"/>
        <v>-1.681347444501808E-2</v>
      </c>
      <c r="AC238">
        <f t="shared" si="59"/>
        <v>2.6123298568145676E-2</v>
      </c>
    </row>
    <row r="239" spans="1:29" x14ac:dyDescent="0.75">
      <c r="A239" s="1">
        <v>45989.041250000002</v>
      </c>
      <c r="B239" s="14">
        <v>58.15</v>
      </c>
      <c r="C239" s="14">
        <f t="shared" si="46"/>
        <v>-9.4236760124610686E-2</v>
      </c>
      <c r="D239" s="14">
        <v>19.37</v>
      </c>
      <c r="E239" s="14">
        <f t="shared" si="47"/>
        <v>2.5953389830508655E-2</v>
      </c>
      <c r="F239" s="14">
        <v>148.5</v>
      </c>
      <c r="G239" s="14">
        <f t="shared" si="48"/>
        <v>-2.3026315789473673E-2</v>
      </c>
      <c r="H239" s="14">
        <v>446.27</v>
      </c>
      <c r="I239" s="14">
        <f t="shared" si="49"/>
        <v>0.15234849071707068</v>
      </c>
      <c r="J239" s="14">
        <v>174.99</v>
      </c>
      <c r="K239" s="14">
        <f t="shared" si="50"/>
        <v>8.006863025451505E-4</v>
      </c>
      <c r="L239" s="14">
        <v>323.57</v>
      </c>
      <c r="M239" s="14">
        <f t="shared" si="51"/>
        <v>2.6261536997684631E-2</v>
      </c>
      <c r="N239" s="14">
        <v>73.150000000000006</v>
      </c>
      <c r="O239" s="14">
        <f t="shared" si="52"/>
        <v>2.6522593320235766E-2</v>
      </c>
      <c r="P239" s="14">
        <v>38.979999999999997</v>
      </c>
      <c r="Q239" s="14">
        <f t="shared" si="53"/>
        <v>8.3982202447163479E-2</v>
      </c>
      <c r="R239" s="14">
        <v>772.78</v>
      </c>
      <c r="S239" s="14">
        <f t="shared" si="54"/>
        <v>4.7978780116759712E-3</v>
      </c>
      <c r="T239" s="14">
        <v>61.99</v>
      </c>
      <c r="U239" s="14">
        <f t="shared" si="45"/>
        <v>9.2803647020514024E-3</v>
      </c>
      <c r="V239" s="14">
        <v>67416.21875</v>
      </c>
      <c r="W239">
        <f t="shared" si="55"/>
        <v>7.0391213568636868E-3</v>
      </c>
      <c r="Z239">
        <f t="shared" si="56"/>
        <v>3.4466674530966905E-2</v>
      </c>
      <c r="AA239">
        <f t="shared" si="57"/>
        <v>1.1961917372881438E-2</v>
      </c>
      <c r="AB239">
        <f t="shared" si="58"/>
        <v>1.9677030033370405E-2</v>
      </c>
      <c r="AC239">
        <f t="shared" si="59"/>
        <v>2.8277271247150624E-3</v>
      </c>
    </row>
    <row r="240" spans="1:29" x14ac:dyDescent="0.75">
      <c r="A240" s="1">
        <v>46022.041250000002</v>
      </c>
      <c r="B240" s="14">
        <v>59.12</v>
      </c>
      <c r="C240" s="14">
        <f t="shared" si="46"/>
        <v>1.668099742046425E-2</v>
      </c>
      <c r="D240" s="14">
        <v>20.67</v>
      </c>
      <c r="E240" s="14">
        <f t="shared" si="47"/>
        <v>6.7114093959731669E-2</v>
      </c>
      <c r="F240" s="14">
        <v>150.5</v>
      </c>
      <c r="G240" s="14">
        <f t="shared" si="48"/>
        <v>1.3468013468013407E-2</v>
      </c>
      <c r="H240" s="14">
        <v>473.06</v>
      </c>
      <c r="I240" s="14">
        <f t="shared" si="49"/>
        <v>6.0030922983843826E-2</v>
      </c>
      <c r="J240" s="14">
        <v>166.94</v>
      </c>
      <c r="K240" s="14">
        <f t="shared" si="50"/>
        <v>-4.6002628721641292E-2</v>
      </c>
      <c r="L240" s="14">
        <v>310.24</v>
      </c>
      <c r="M240" s="14">
        <f t="shared" si="51"/>
        <v>-4.1196649874833846E-2</v>
      </c>
      <c r="N240" s="14">
        <v>83.53</v>
      </c>
      <c r="O240" s="14">
        <f t="shared" si="52"/>
        <v>0.14190020505809975</v>
      </c>
      <c r="P240" s="14">
        <v>38.4</v>
      </c>
      <c r="Q240" s="14">
        <f t="shared" si="53"/>
        <v>-1.4879425346331354E-2</v>
      </c>
      <c r="R240" s="14">
        <v>946.74</v>
      </c>
      <c r="S240" s="14">
        <f t="shared" si="54"/>
        <v>0.22510934547995554</v>
      </c>
      <c r="T240" s="14">
        <v>56.13</v>
      </c>
      <c r="U240" s="14">
        <f t="shared" si="45"/>
        <v>-9.4531376028391678E-2</v>
      </c>
      <c r="V240" s="14">
        <v>67226.007813000004</v>
      </c>
      <c r="W240">
        <f t="shared" si="55"/>
        <v>6.5288984725781929E-2</v>
      </c>
      <c r="Z240">
        <f t="shared" si="56"/>
        <v>-1.3570737284560597E-3</v>
      </c>
      <c r="AA240">
        <f t="shared" si="57"/>
        <v>3.0932885906040323E-2</v>
      </c>
      <c r="AB240">
        <f t="shared" si="58"/>
        <v>-3.4862493586454366E-3</v>
      </c>
      <c r="AC240">
        <f t="shared" si="59"/>
        <v>-2.8803710275850946E-2</v>
      </c>
    </row>
    <row r="241" spans="1:29" x14ac:dyDescent="0.75">
      <c r="A241" s="1">
        <v>46052.041250000002</v>
      </c>
      <c r="B241" s="14">
        <v>60.7</v>
      </c>
      <c r="C241" s="14">
        <f t="shared" si="46"/>
        <v>2.6725304465494037E-2</v>
      </c>
      <c r="D241" s="14">
        <v>21.68</v>
      </c>
      <c r="E241" s="14">
        <f t="shared" si="47"/>
        <v>4.8863086598935457E-2</v>
      </c>
      <c r="F241" s="14">
        <v>158.25</v>
      </c>
      <c r="G241" s="14">
        <f t="shared" si="48"/>
        <v>5.1495016611295741E-2</v>
      </c>
      <c r="H241" s="14">
        <v>479.82</v>
      </c>
      <c r="I241" s="14">
        <f t="shared" si="49"/>
        <v>1.4289942079228846E-2</v>
      </c>
      <c r="J241" s="14">
        <v>197.57</v>
      </c>
      <c r="K241" s="14">
        <f t="shared" si="50"/>
        <v>0.1834790942853719</v>
      </c>
      <c r="L241" s="14">
        <v>314.69</v>
      </c>
      <c r="M241" s="14">
        <f t="shared" si="51"/>
        <v>1.434373388344512E-2</v>
      </c>
      <c r="N241" s="14">
        <v>73.88</v>
      </c>
      <c r="O241" s="14">
        <f t="shared" si="52"/>
        <v>-0.11552735544115889</v>
      </c>
      <c r="P241" s="14">
        <v>38.71</v>
      </c>
      <c r="Q241" s="14">
        <f t="shared" si="53"/>
        <v>8.0729166666666519E-3</v>
      </c>
      <c r="R241" s="14">
        <v>1012.8</v>
      </c>
      <c r="S241" s="14">
        <f t="shared" si="54"/>
        <v>6.9776284935674004E-2</v>
      </c>
      <c r="T241" s="14">
        <v>55.46</v>
      </c>
      <c r="U241" s="14">
        <f t="shared" si="45"/>
        <v>-1.1936575806164251E-2</v>
      </c>
      <c r="V241" s="14">
        <v>67640.59375</v>
      </c>
      <c r="W241">
        <f t="shared" si="55"/>
        <v>2.8919854564754877E-2</v>
      </c>
      <c r="Z241">
        <f t="shared" si="56"/>
        <v>2.0775406340311098E-2</v>
      </c>
      <c r="AA241">
        <f t="shared" si="57"/>
        <v>2.2520996613449352E-2</v>
      </c>
      <c r="AB241">
        <f t="shared" si="58"/>
        <v>1.8914843749999967E-3</v>
      </c>
      <c r="AC241">
        <f t="shared" si="59"/>
        <v>-3.6370746481382476E-3</v>
      </c>
    </row>
    <row r="242" spans="1:29" x14ac:dyDescent="0.75">
      <c r="A242" s="1">
        <v>46080.041250000002</v>
      </c>
      <c r="B242" s="14">
        <v>62.48</v>
      </c>
      <c r="C242" s="14">
        <f t="shared" si="46"/>
        <v>2.9324546952223862E-2</v>
      </c>
      <c r="D242" s="14">
        <v>21.56</v>
      </c>
      <c r="E242" s="14">
        <f t="shared" si="47"/>
        <v>-5.5350553505535416E-3</v>
      </c>
      <c r="F242" s="14">
        <v>159</v>
      </c>
      <c r="G242" s="14">
        <f t="shared" si="48"/>
        <v>4.7393364928909332E-3</v>
      </c>
      <c r="H242" s="14">
        <v>449.4</v>
      </c>
      <c r="I242" s="14">
        <f t="shared" si="49"/>
        <v>-6.3398774540452729E-2</v>
      </c>
      <c r="J242" s="14">
        <v>196.39</v>
      </c>
      <c r="K242" s="14">
        <f t="shared" si="50"/>
        <v>-5.9725666852254999E-3</v>
      </c>
      <c r="L242" s="14">
        <v>308.74</v>
      </c>
      <c r="M242" s="14">
        <f t="shared" si="51"/>
        <v>-1.8907496266166612E-2</v>
      </c>
      <c r="N242" s="14">
        <v>86.45</v>
      </c>
      <c r="O242" s="14">
        <f t="shared" si="52"/>
        <v>0.17014076881429352</v>
      </c>
      <c r="P242" s="14">
        <v>43.23</v>
      </c>
      <c r="Q242" s="14">
        <f t="shared" si="53"/>
        <v>0.11676569361921962</v>
      </c>
      <c r="R242" s="14">
        <v>1093.6400000000001</v>
      </c>
      <c r="S242" s="14">
        <f t="shared" si="54"/>
        <v>7.9818325434439341E-2</v>
      </c>
      <c r="T242" s="14">
        <v>55.74</v>
      </c>
      <c r="U242" s="14">
        <f t="shared" si="45"/>
        <v>5.0486837360259607E-3</v>
      </c>
      <c r="V242" s="14">
        <v>66966.679688000004</v>
      </c>
      <c r="W242">
        <f t="shared" si="55"/>
        <v>4.2433504585232651E-2</v>
      </c>
      <c r="Z242">
        <f t="shared" si="56"/>
        <v>2.6345428938280142E-2</v>
      </c>
      <c r="AA242">
        <f t="shared" si="57"/>
        <v>-2.5511070110701274E-3</v>
      </c>
      <c r="AB242">
        <f t="shared" si="58"/>
        <v>2.7358202014983159E-2</v>
      </c>
      <c r="AC242">
        <f t="shared" si="59"/>
        <v>1.5383339343671104E-3</v>
      </c>
    </row>
    <row r="243" spans="1:29" x14ac:dyDescent="0.75">
      <c r="A243" s="1">
        <v>46112.041250000002</v>
      </c>
      <c r="B243" s="14">
        <v>60.1</v>
      </c>
      <c r="C243" s="14">
        <f t="shared" si="46"/>
        <v>-3.8092189500640083E-2</v>
      </c>
      <c r="D243" s="14">
        <v>20.55</v>
      </c>
      <c r="E243" s="14">
        <f t="shared" si="47"/>
        <v>-4.6846011131725374E-2</v>
      </c>
      <c r="F243" s="14">
        <v>160</v>
      </c>
      <c r="G243" s="14">
        <f t="shared" si="48"/>
        <v>6.2893081761006275E-3</v>
      </c>
      <c r="H243" s="14">
        <v>442.15</v>
      </c>
      <c r="I243" s="14">
        <f t="shared" si="49"/>
        <v>-1.6132621272808234E-2</v>
      </c>
      <c r="J243" s="14">
        <v>198.78</v>
      </c>
      <c r="K243" s="14">
        <f t="shared" si="50"/>
        <v>1.2169662406436244E-2</v>
      </c>
      <c r="L243" s="14">
        <v>328.65</v>
      </c>
      <c r="M243" s="14">
        <f t="shared" si="51"/>
        <v>6.4487918637040842E-2</v>
      </c>
      <c r="N243" s="14">
        <v>84.32</v>
      </c>
      <c r="O243" s="14">
        <f t="shared" si="52"/>
        <v>-2.4638519375361545E-2</v>
      </c>
      <c r="P243" s="14">
        <v>42.43</v>
      </c>
      <c r="Q243" s="14">
        <f t="shared" si="53"/>
        <v>-1.8505667360629086E-2</v>
      </c>
      <c r="R243" s="14">
        <v>796.61</v>
      </c>
      <c r="S243" s="14">
        <f t="shared" si="54"/>
        <v>-0.271597600672982</v>
      </c>
      <c r="T243" s="14">
        <v>58.2</v>
      </c>
      <c r="U243" s="14">
        <f t="shared" si="45"/>
        <v>4.413347685683533E-2</v>
      </c>
      <c r="V243" s="14">
        <v>67247.789063000004</v>
      </c>
      <c r="W243">
        <f t="shared" si="55"/>
        <v>-0.11373206190807333</v>
      </c>
      <c r="Z243">
        <f t="shared" si="56"/>
        <v>-1.2479733994929895E-2</v>
      </c>
      <c r="AA243">
        <f t="shared" si="57"/>
        <v>-2.1591326530612225E-2</v>
      </c>
      <c r="AB243">
        <f t="shared" si="58"/>
        <v>-4.3358778625953946E-3</v>
      </c>
      <c r="AC243">
        <f t="shared" si="59"/>
        <v>1.3447470398277726E-2</v>
      </c>
    </row>
    <row r="244" spans="1:29" x14ac:dyDescent="0.75">
      <c r="A244" s="1">
        <v>46142.041250000002</v>
      </c>
      <c r="B244" s="14">
        <v>59.48</v>
      </c>
      <c r="C244" s="14">
        <f t="shared" si="46"/>
        <v>-1.0316139767055033E-2</v>
      </c>
      <c r="D244" s="14">
        <v>21.45</v>
      </c>
      <c r="E244" s="14">
        <f t="shared" si="47"/>
        <v>4.3795620437956151E-2</v>
      </c>
      <c r="F244" s="14">
        <v>162</v>
      </c>
      <c r="G244" s="14">
        <f t="shared" si="48"/>
        <v>1.2499999999999956E-2</v>
      </c>
      <c r="H244" s="14">
        <v>438.21</v>
      </c>
      <c r="I244" s="14">
        <f t="shared" si="49"/>
        <v>-8.9110030532624229E-3</v>
      </c>
      <c r="J244" s="14">
        <v>189.68</v>
      </c>
      <c r="K244" s="14">
        <f t="shared" si="50"/>
        <v>-4.577925344602074E-2</v>
      </c>
      <c r="L244" s="14">
        <v>303.16000000000003</v>
      </c>
      <c r="M244" s="14">
        <f t="shared" si="51"/>
        <v>-7.7559713981439127E-2</v>
      </c>
      <c r="N244" s="14">
        <v>66.540000000000006</v>
      </c>
      <c r="O244" s="14">
        <f t="shared" si="52"/>
        <v>-0.210863377609108</v>
      </c>
      <c r="P244" s="14">
        <v>39.5</v>
      </c>
      <c r="Q244" s="14">
        <f t="shared" si="53"/>
        <v>-6.9054913975960419E-2</v>
      </c>
      <c r="R244" s="14">
        <v>880.7</v>
      </c>
      <c r="S244" s="14">
        <f t="shared" si="54"/>
        <v>0.10555980969357659</v>
      </c>
      <c r="T244" s="14">
        <v>55.07</v>
      </c>
      <c r="U244" s="14">
        <f t="shared" si="45"/>
        <v>-5.3780068728522368E-2</v>
      </c>
      <c r="V244" s="14">
        <v>67071.109375</v>
      </c>
      <c r="W244">
        <f t="shared" si="55"/>
        <v>2.5889870482527111E-2</v>
      </c>
      <c r="Z244">
        <f t="shared" si="56"/>
        <v>-1.2380951826294301E-2</v>
      </c>
      <c r="AA244">
        <f t="shared" si="57"/>
        <v>2.018540145985399E-2</v>
      </c>
      <c r="AB244">
        <f t="shared" si="58"/>
        <v>-1.6179566344567527E-2</v>
      </c>
      <c r="AC244">
        <f t="shared" si="59"/>
        <v>-1.6386786941580765E-2</v>
      </c>
    </row>
    <row r="245" spans="1:29" x14ac:dyDescent="0.75">
      <c r="A245" s="1">
        <v>46171.041250000002</v>
      </c>
      <c r="B245" s="14">
        <v>59.69</v>
      </c>
      <c r="C245" s="14">
        <f t="shared" si="46"/>
        <v>3.5305985205111856E-3</v>
      </c>
      <c r="D245" s="14">
        <v>22.83</v>
      </c>
      <c r="E245" s="14">
        <f t="shared" si="47"/>
        <v>6.4335664335664289E-2</v>
      </c>
      <c r="F245" s="14">
        <v>166</v>
      </c>
      <c r="G245" s="14">
        <f t="shared" si="48"/>
        <v>2.4691358024691468E-2</v>
      </c>
      <c r="H245" s="14">
        <v>408.32</v>
      </c>
      <c r="I245" s="14">
        <f t="shared" si="49"/>
        <v>-6.8209306040482809E-2</v>
      </c>
      <c r="J245" s="14">
        <v>180.79</v>
      </c>
      <c r="K245" s="14">
        <f t="shared" si="50"/>
        <v>-4.6868409953606194E-2</v>
      </c>
      <c r="L245" s="14">
        <v>290.76</v>
      </c>
      <c r="M245" s="14">
        <f t="shared" si="51"/>
        <v>-4.090249373268251E-2</v>
      </c>
      <c r="N245" s="14">
        <v>60.18</v>
      </c>
      <c r="O245" s="14">
        <f t="shared" si="52"/>
        <v>-9.5581605049594343E-2</v>
      </c>
      <c r="P245" s="14">
        <v>38.4</v>
      </c>
      <c r="Q245" s="14">
        <f t="shared" si="53"/>
        <v>-2.7848101265822822E-2</v>
      </c>
      <c r="R245" s="14">
        <v>1008.32</v>
      </c>
      <c r="S245" s="14">
        <f t="shared" si="54"/>
        <v>0.14490745997501997</v>
      </c>
      <c r="T245" s="14">
        <v>52.4</v>
      </c>
      <c r="U245" s="14">
        <f t="shared" si="45"/>
        <v>-4.8483747957145495E-2</v>
      </c>
      <c r="V245" s="14">
        <v>67060.492188000004</v>
      </c>
      <c r="W245">
        <f t="shared" si="55"/>
        <v>4.8211856008937237E-2</v>
      </c>
      <c r="Z245">
        <f t="shared" si="56"/>
        <v>8.3544995631831456E-3</v>
      </c>
      <c r="AA245">
        <f t="shared" si="57"/>
        <v>2.9652307692307669E-2</v>
      </c>
      <c r="AB245">
        <f t="shared" si="58"/>
        <v>-6.5248101265822879E-3</v>
      </c>
      <c r="AC245">
        <f t="shared" si="59"/>
        <v>-1.4772998002542235E-2</v>
      </c>
    </row>
    <row r="246" spans="1:29" x14ac:dyDescent="0.75">
      <c r="A246" s="1">
        <v>46203.041250000002</v>
      </c>
      <c r="B246" s="14">
        <v>57.15</v>
      </c>
      <c r="C246" s="14">
        <f t="shared" si="46"/>
        <v>-4.2553191489361653E-2</v>
      </c>
      <c r="D246" s="14">
        <v>21</v>
      </c>
      <c r="E246" s="14">
        <f t="shared" si="47"/>
        <v>-8.0157687253613608E-2</v>
      </c>
      <c r="F246" s="14">
        <v>166</v>
      </c>
      <c r="G246" s="14">
        <f t="shared" si="48"/>
        <v>0</v>
      </c>
      <c r="H246" s="14">
        <v>442.26</v>
      </c>
      <c r="I246" s="14">
        <f t="shared" si="49"/>
        <v>8.3121081504702099E-2</v>
      </c>
      <c r="J246" s="14">
        <v>184.57</v>
      </c>
      <c r="K246" s="14">
        <f t="shared" si="50"/>
        <v>2.0908236075004138E-2</v>
      </c>
      <c r="L246" s="14">
        <v>280.94</v>
      </c>
      <c r="M246" s="14">
        <f t="shared" si="51"/>
        <v>-3.377355894896128E-2</v>
      </c>
      <c r="N246" s="14">
        <v>57.09</v>
      </c>
      <c r="O246" s="14">
        <f t="shared" si="52"/>
        <v>-5.1345962113658938E-2</v>
      </c>
      <c r="P246" s="14">
        <v>38.729999999999997</v>
      </c>
      <c r="Q246" s="14">
        <f t="shared" si="53"/>
        <v>8.5937499999999556E-3</v>
      </c>
      <c r="R246" s="14">
        <v>764.28</v>
      </c>
      <c r="S246" s="14">
        <f t="shared" si="54"/>
        <v>-0.24202634084417651</v>
      </c>
      <c r="T246" s="14">
        <v>51.37</v>
      </c>
      <c r="U246" s="14">
        <f t="shared" si="45"/>
        <v>-1.9656488549618323E-2</v>
      </c>
      <c r="V246" s="14">
        <v>67466.460938000004</v>
      </c>
      <c r="W246">
        <f t="shared" si="55"/>
        <v>-0.13084141469689742</v>
      </c>
      <c r="Z246">
        <f t="shared" si="56"/>
        <v>-4.0920494491259223E-2</v>
      </c>
      <c r="AA246">
        <f t="shared" si="57"/>
        <v>-3.6944678055190507E-2</v>
      </c>
      <c r="AB246">
        <f t="shared" si="58"/>
        <v>2.0135156249999897E-3</v>
      </c>
      <c r="AC246">
        <f t="shared" si="59"/>
        <v>-5.9893320610687039E-3</v>
      </c>
    </row>
    <row r="247" spans="1:29" x14ac:dyDescent="0.75">
      <c r="A247" s="1">
        <v>46209.041250000002</v>
      </c>
      <c r="B247" s="14">
        <v>57.04</v>
      </c>
      <c r="C247" s="14"/>
      <c r="D247" s="14">
        <v>21.41</v>
      </c>
      <c r="E247" s="14"/>
      <c r="F247" s="14">
        <v>167</v>
      </c>
      <c r="G247" s="14"/>
      <c r="H247" s="14">
        <v>441.9</v>
      </c>
      <c r="I247" s="14"/>
      <c r="J247" s="14">
        <v>188.41</v>
      </c>
      <c r="K247" s="14"/>
      <c r="L247" s="14">
        <v>283.23</v>
      </c>
      <c r="M247" s="14"/>
      <c r="N247" s="14">
        <v>55.71</v>
      </c>
      <c r="O247" s="14"/>
      <c r="P247" s="14">
        <v>39.21</v>
      </c>
      <c r="Q247" s="14"/>
      <c r="R247" s="14">
        <v>781.55</v>
      </c>
      <c r="S247" s="14"/>
      <c r="T247" s="14">
        <v>49.06</v>
      </c>
      <c r="U247" s="14"/>
      <c r="V247" s="14">
        <v>66674.703099999999</v>
      </c>
      <c r="W247">
        <f t="shared" si="55"/>
        <v>0</v>
      </c>
      <c r="Z247">
        <f t="shared" si="56"/>
        <v>0</v>
      </c>
      <c r="AA247">
        <f t="shared" si="57"/>
        <v>0</v>
      </c>
      <c r="AB247">
        <f t="shared" si="58"/>
        <v>0</v>
      </c>
      <c r="AC247">
        <f t="shared" si="59"/>
        <v>0</v>
      </c>
    </row>
    <row r="248" spans="1:29" s="17" customFormat="1" x14ac:dyDescent="0.75">
      <c r="A248" s="16" t="s">
        <v>30</v>
      </c>
      <c r="C248" s="17">
        <f>AVERAGE(C4:C247)</f>
        <v>9.873706072430136E-3</v>
      </c>
      <c r="E248" s="17">
        <f>AVERAGE(E4:E247)</f>
        <v>5.6599078321021394E-3</v>
      </c>
      <c r="G248" s="17">
        <f>AVERAGE(G4:G247)</f>
        <v>1.1850676229181231E-2</v>
      </c>
      <c r="I248" s="17">
        <f>AVERAGE(I4:I247)</f>
        <v>1.4997036747840456E-2</v>
      </c>
      <c r="K248" s="17">
        <f>AVERAGE(K4:K247)</f>
        <v>1.2091881253863526E-2</v>
      </c>
      <c r="M248" s="17">
        <f>AVERAGE(M4:M247)</f>
        <v>1.5205918398330983E-2</v>
      </c>
      <c r="O248" s="17">
        <f>AVERAGE(O4:O247)</f>
        <v>1.0327296406260868E-2</v>
      </c>
      <c r="Q248" s="17">
        <f>AVERAGE(Q4:Q247)</f>
        <v>6.8840757304194471E-3</v>
      </c>
      <c r="S248" s="17">
        <f>AVERAGE(S4:S247)</f>
        <v>1.6885140517908688E-2</v>
      </c>
      <c r="U248" s="17">
        <f>AVERAGE(U4:U247)</f>
        <v>7.0983312583302377E-3</v>
      </c>
      <c r="W248" s="18">
        <f>AVERAGE(W4:W247)</f>
        <v>1.1942589429561605E-2</v>
      </c>
      <c r="Z248" s="18">
        <f>AVERAGE(Z4:Z247)</f>
        <v>6.3582862109898795E-3</v>
      </c>
      <c r="AA248"/>
      <c r="AB248"/>
      <c r="AC248"/>
    </row>
    <row r="249" spans="1:29" x14ac:dyDescent="0.75">
      <c r="A249" s="15" t="s">
        <v>25</v>
      </c>
      <c r="C249">
        <f>_xlfn.VAR.S(C3:C247)</f>
        <v>4.4836652909795906E-3</v>
      </c>
      <c r="E249">
        <f>_xlfn.VAR.S(E3:E247)</f>
        <v>1.2385509142770486E-2</v>
      </c>
      <c r="G249">
        <f>_xlfn.VAR.S(G3:G247)</f>
        <v>4.4691411686441813E-3</v>
      </c>
      <c r="I249">
        <f>_xlfn.VAR.S(I3:I247)</f>
        <v>7.0282893825863186E-3</v>
      </c>
      <c r="K249">
        <f>_xlfn.VAR.S(K3:K247)</f>
        <v>7.8848499096445639E-3</v>
      </c>
      <c r="M249">
        <f>_xlfn.VAR.S(M3:M247)</f>
        <v>1.2212519599214901E-2</v>
      </c>
      <c r="O249">
        <f>_xlfn.VAR.S(O3:O247)</f>
        <v>4.9035611649083004E-3</v>
      </c>
      <c r="Q249">
        <f>_xlfn.VAR.S(Q3:Q247)</f>
        <v>3.5844899516119196E-3</v>
      </c>
      <c r="S249">
        <f>_xlfn.VAR.S(S3:S247)</f>
        <v>1.6607792124013442E-2</v>
      </c>
      <c r="U249">
        <f>_xlfn.VAR.S(U3:U247)</f>
        <v>3.7479357917030256E-3</v>
      </c>
    </row>
    <row r="250" spans="1:29" s="17" customFormat="1" x14ac:dyDescent="0.75">
      <c r="A250" s="16" t="s">
        <v>24</v>
      </c>
      <c r="C250" s="17">
        <f>_xlfn.STDEV.S(C3:C246)</f>
        <v>6.6960176903735777E-2</v>
      </c>
      <c r="E250" s="17">
        <f>_xlfn.STDEV.S(E3:E246)</f>
        <v>0.11129020236647288</v>
      </c>
      <c r="G250" s="17">
        <f>_xlfn.STDEV.S(G3:G246)</f>
        <v>6.6851635497152812E-2</v>
      </c>
      <c r="I250" s="17">
        <f>_xlfn.STDEV.S(I3:I246)</f>
        <v>8.3834893586061873E-2</v>
      </c>
      <c r="K250" s="17">
        <f>_xlfn.STDEV.S(K3:K246)</f>
        <v>8.8796677357007928E-2</v>
      </c>
      <c r="M250" s="17">
        <f>_xlfn.STDEV.S(M3:M246)</f>
        <v>0.11051026920252661</v>
      </c>
      <c r="O250" s="17">
        <f>_xlfn.STDEV.S(O3:O246)</f>
        <v>7.002543227219879E-2</v>
      </c>
      <c r="Q250" s="17">
        <f>_xlfn.STDEV.S(Q3:Q246)</f>
        <v>5.9870610082175708E-2</v>
      </c>
      <c r="S250" s="17">
        <f>_xlfn.STDEV.S(S3:S246)</f>
        <v>0.12887122302521009</v>
      </c>
      <c r="U250" s="17">
        <f>_xlfn.STDEV.S(U3:U246)</f>
        <v>6.1220387059402241E-2</v>
      </c>
      <c r="W250"/>
      <c r="Z250"/>
      <c r="AA250"/>
      <c r="AB250"/>
      <c r="AC250"/>
    </row>
    <row r="251" spans="1:29" x14ac:dyDescent="0.75">
      <c r="W251">
        <f>POWER(X2,2)*S249+POWER(Y2,2)*U249+2*X2*Y2*W249*W252</f>
        <v>5.0889319789291171E-3</v>
      </c>
    </row>
    <row r="252" spans="1:29" x14ac:dyDescent="0.75">
      <c r="A252" t="s">
        <v>29</v>
      </c>
      <c r="W252">
        <f>CORREL(S3:S247,U3:U247)</f>
        <v>0.19979073952313067</v>
      </c>
    </row>
    <row r="254" spans="1:29" x14ac:dyDescent="0.75">
      <c r="A254" s="19" t="s">
        <v>31</v>
      </c>
    </row>
  </sheetData>
  <autoFilter ref="A1:V1" xr:uid="{00000000-0001-0000-0000-000000000000}">
    <sortState xmlns:xlrd2="http://schemas.microsoft.com/office/spreadsheetml/2017/richdata2" ref="A2:V250">
      <sortCondition ref="A1"/>
    </sortState>
  </autoFilter>
  <phoneticPr fontId="7" type="noConversion"/>
  <pageMargins left="0.7" right="0.7" top="0.75" bottom="0.75" header="0.3" footer="0.3"/>
  <ignoredErrors>
    <ignoredError sqref="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3FAE-5BE1-4C17-BECB-C0BAAF8E8B04}">
  <dimension ref="A1"/>
  <sheetViews>
    <sheetView topLeftCell="A73" workbookViewId="0">
      <selection activeCell="U70" sqref="U70"/>
    </sheetView>
  </sheetViews>
  <sheetFormatPr baseColWidth="10" defaultColWidth="8.7265625" defaultRowHeight="14.75" x14ac:dyDescent="0.7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69E7-A164-4A35-9E39-A3E26E482B0F}">
  <dimension ref="A1:L304"/>
  <sheetViews>
    <sheetView zoomScale="130" zoomScaleNormal="130" workbookViewId="0">
      <selection sqref="A1:XFD1048576"/>
    </sheetView>
  </sheetViews>
  <sheetFormatPr baseColWidth="10" defaultColWidth="8.7265625" defaultRowHeight="14.75" x14ac:dyDescent="0.75"/>
  <cols>
    <col min="1" max="1" width="10.54296875" bestFit="1" customWidth="1"/>
    <col min="2" max="2" width="8.08984375" bestFit="1" customWidth="1"/>
    <col min="3" max="3" width="7" bestFit="1" customWidth="1"/>
    <col min="4" max="4" width="6.86328125" bestFit="1" customWidth="1"/>
    <col min="5" max="5" width="22.6796875" bestFit="1" customWidth="1"/>
    <col min="6" max="6" width="9.08984375" bestFit="1" customWidth="1"/>
    <col min="7" max="7" width="7.6796875" bestFit="1" customWidth="1"/>
    <col min="8" max="8" width="7.54296875" bestFit="1" customWidth="1"/>
    <col min="9" max="9" width="15.54296875" bestFit="1" customWidth="1"/>
    <col min="10" max="10" width="8.6796875" bestFit="1" customWidth="1"/>
    <col min="11" max="11" width="10" bestFit="1" customWidth="1"/>
    <col min="12" max="12" width="5.6796875" bestFit="1" customWidth="1"/>
  </cols>
  <sheetData>
    <row r="1" spans="1:12" x14ac:dyDescent="0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10</v>
      </c>
      <c r="K1" s="3" t="s">
        <v>11</v>
      </c>
      <c r="L1" s="3" t="s">
        <v>9</v>
      </c>
    </row>
    <row r="2" spans="1:12" x14ac:dyDescent="0.75">
      <c r="A2" s="1">
        <f>report!A2</f>
        <v>38776.041250000002</v>
      </c>
      <c r="B2" s="2">
        <f>IF(OR(report!B2="",report!B3=""),NA(),report!B2/report!B3-1)</f>
        <v>3.919372900335949E-2</v>
      </c>
      <c r="C2" s="2">
        <f>IF(OR(report!D2="",report!D3=""),NA(),report!D2/report!D3-1)</f>
        <v>-8.4704937775993527E-2</v>
      </c>
      <c r="D2" s="2">
        <f>IF(OR(report!F2="",report!F3=""),NA(),report!F2/report!F3-1)</f>
        <v>0.17021271978270813</v>
      </c>
      <c r="E2" s="2">
        <f>IF(OR(report!H2="",report!H3=""),NA(),report!H2/report!H3-1)</f>
        <v>-0.1358273335359087</v>
      </c>
      <c r="F2" s="2">
        <f>IF(OR(report!J2="",report!J3=""),NA(),report!J2/report!J3-1)</f>
        <v>-1.0814986481266997E-2</v>
      </c>
      <c r="G2" s="2">
        <f>IF(OR(report!L2="",report!L3=""),NA(),report!L2/report!L3-1)</f>
        <v>4.6284634760705101E-2</v>
      </c>
      <c r="H2" s="2">
        <f>IF(OR(report!N2="",report!N3=""),NA(),report!N2/report!N3-1)</f>
        <v>-6.6587395957193873E-2</v>
      </c>
      <c r="I2" s="2">
        <f>IF(OR(report!P2="",report!P3=""),NA(),report!P2/report!P3-1)</f>
        <v>-3.865779226169086E-2</v>
      </c>
      <c r="J2" s="2">
        <f>IF(OR(report!R2="",report!R3=""),NA(),report!R2/report!R3-1)</f>
        <v>-0.22188556112341229</v>
      </c>
      <c r="K2" s="2">
        <f>IF(OR(report!T2="",report!T3=""),NA(),report!T2/report!T3-1)</f>
        <v>4.2420027816411743E-2</v>
      </c>
      <c r="L2" s="2">
        <f>IF(OR(report!V2="",report!V3=""),NA(),report!V2/report!V3-1)</f>
        <v>2.5842122576744675E-3</v>
      </c>
    </row>
    <row r="3" spans="1:12" x14ac:dyDescent="0.75">
      <c r="A3" s="1">
        <f>report!A3</f>
        <v>38807.041250000002</v>
      </c>
      <c r="B3" s="2">
        <f>IF(OR(report!B3="",report!B4=""),NA(),report!B3/report!B4-1)</f>
        <v>3.2369942196531776E-2</v>
      </c>
      <c r="C3" s="2">
        <f>IF(OR(report!D3="",report!D4=""),NA(),report!D3/report!D4-1)</f>
        <v>-5.2130898021308991E-2</v>
      </c>
      <c r="D3" s="2">
        <f>IF(OR(report!F3="",report!F4=""),NA(),report!F3/report!F4-1)</f>
        <v>-7.8611999188629711E-2</v>
      </c>
      <c r="E3" s="2">
        <f>IF(OR(report!H3="",report!H4=""),NA(),report!H3/report!H4-1)</f>
        <v>-5.3391454796766769E-2</v>
      </c>
      <c r="F3" s="2">
        <f>IF(OR(report!J3="",report!J4=""),NA(),report!J3/report!J4-1)</f>
        <v>-0.10415224913494803</v>
      </c>
      <c r="G3" s="2">
        <f>IF(OR(report!L3="",report!L4=""),NA(),report!L3/report!L4-1)</f>
        <v>-7.2429906542056055E-2</v>
      </c>
      <c r="H3" s="2">
        <f>IF(OR(report!N3="",report!N4=""),NA(),report!N3/report!N4-1)</f>
        <v>-0.12395833333333328</v>
      </c>
      <c r="I3" s="2">
        <f>IF(OR(report!P3="",report!P4=""),NA(),report!P3/report!P4-1)</f>
        <v>-4.6338921639987762E-2</v>
      </c>
      <c r="J3" s="2">
        <f>IF(OR(report!R3="",report!R4=""),NA(),report!R3/report!R4-1)</f>
        <v>-0.14121297037630098</v>
      </c>
      <c r="K3" s="2">
        <f>IF(OR(report!T3="",report!T4=""),NA(),report!T3/report!T4-1)</f>
        <v>-8.8431061806656053E-2</v>
      </c>
      <c r="L3" s="2">
        <f>IF(OR(report!V3="",report!V4=""),NA(),report!V3/report!V4-1)</f>
        <v>4.098041404287045E-3</v>
      </c>
    </row>
    <row r="4" spans="1:12" x14ac:dyDescent="0.75">
      <c r="A4" s="1">
        <f>report!A4</f>
        <v>38835.041250000002</v>
      </c>
      <c r="B4" s="2">
        <f>IF(OR(report!B4="",report!B5=""),NA(),report!B4/report!B5-1)</f>
        <v>4.8484848484848575E-2</v>
      </c>
      <c r="C4" s="2">
        <f>IF(OR(report!D4="",report!D5=""),NA(),report!D4/report!D5-1)</f>
        <v>0.15924128804587556</v>
      </c>
      <c r="D4" s="2">
        <f>IF(OR(report!F4="",report!F5=""),NA(),report!F4/report!F5-1)</f>
        <v>-2.7370674486802971E-3</v>
      </c>
      <c r="E4" s="2">
        <f>IF(OR(report!H4="",report!H5=""),NA(),report!H4/report!H5-1)</f>
        <v>-5.0195694025087279E-2</v>
      </c>
      <c r="F4" s="2">
        <f>IF(OR(report!J4="",report!J5=""),NA(),report!J4/report!J5-1)</f>
        <v>7.5949367088607556E-2</v>
      </c>
      <c r="G4" s="2">
        <f>IF(OR(report!L4="",report!L5=""),NA(),report!L4/report!L5-1)</f>
        <v>0.22944344703770203</v>
      </c>
      <c r="H4" s="2">
        <f>IF(OR(report!N4="",report!N5=""),NA(),report!N4/report!N5-1)</f>
        <v>3.2258064516129004E-2</v>
      </c>
      <c r="I4" s="2">
        <f>IF(OR(report!P4="",report!P5=""),NA(),report!P4/report!P5-1)</f>
        <v>1.7982792842573536E-2</v>
      </c>
      <c r="J4" s="2">
        <f>IF(OR(report!R4="",report!R5=""),NA(),report!R4/report!R5-1)</f>
        <v>0.30991085474567392</v>
      </c>
      <c r="K4" s="2">
        <f>IF(OR(report!T4="",report!T5=""),NA(),report!T4/report!T5-1)</f>
        <v>6.4439946018893357E-2</v>
      </c>
      <c r="L4" s="2">
        <f>IF(OR(report!V4="",report!V5=""),NA(),report!V4/report!V5-1)</f>
        <v>-2.1287550635743502E-3</v>
      </c>
    </row>
    <row r="5" spans="1:12" x14ac:dyDescent="0.75">
      <c r="A5" s="1">
        <f>report!A5</f>
        <v>38868.041250000002</v>
      </c>
      <c r="B5" s="2">
        <f>IF(OR(report!B5="",report!B6=""),NA(),report!B5/report!B6-1)</f>
        <v>-2.1352313167259718E-2</v>
      </c>
      <c r="C5" s="2">
        <f>IF(OR(report!D5="",report!D6=""),NA(),report!D5/report!D6-1)</f>
        <v>-5.7017543859648745E-3</v>
      </c>
      <c r="D5" s="2">
        <f>IF(OR(report!F5="",report!F6=""),NA(),report!F5/report!F6-1)</f>
        <v>-0.16009852216748766</v>
      </c>
      <c r="E5" s="2">
        <f>IF(OR(report!H5="",report!H6=""),NA(),report!H5/report!H6-1)</f>
        <v>2.1851949585956376E-2</v>
      </c>
      <c r="F5" s="2">
        <f>IF(OR(report!J5="",report!J6=""),NA(),report!J5/report!J6-1)</f>
        <v>2.323809523809528E-2</v>
      </c>
      <c r="G5" s="2">
        <f>IF(OR(report!L5="",report!L6=""),NA(),report!L5/report!L6-1)</f>
        <v>-8.5385878489326661E-2</v>
      </c>
      <c r="H5" s="2">
        <f>IF(OR(report!N5="",report!N6=""),NA(),report!N5/report!N6-1)</f>
        <v>1.4176663031624903E-2</v>
      </c>
      <c r="I5" s="2">
        <f>IF(OR(report!P5="",report!P6=""),NA(),report!P5/report!P6-1)</f>
        <v>6.7909865312811402E-2</v>
      </c>
      <c r="J5" s="2">
        <f>IF(OR(report!R5="",report!R6=""),NA(),report!R5/report!R6-1)</f>
        <v>4.5217867909016052E-2</v>
      </c>
      <c r="K5" s="2">
        <f>IF(OR(report!T5="",report!T6=""),NA(),report!T5/report!T6-1)</f>
        <v>-4.9390635022450224E-2</v>
      </c>
      <c r="L5" s="2">
        <f>IF(OR(report!V5="",report!V6=""),NA(),report!V5/report!V6-1)</f>
        <v>-3.5624467876060883E-4</v>
      </c>
    </row>
    <row r="6" spans="1:12" x14ac:dyDescent="0.75">
      <c r="A6" s="1">
        <f>report!A6</f>
        <v>38898.041250000002</v>
      </c>
      <c r="B6" s="2">
        <f>IF(OR(report!B6="",report!B7=""),NA(),report!B6/report!B7-1)</f>
        <v>-3.7671232876712368E-2</v>
      </c>
      <c r="C6" s="2">
        <f>IF(OR(report!D6="",report!D7=""),NA(),report!D6/report!D7-1)</f>
        <v>4.6831955922864932E-2</v>
      </c>
      <c r="D6" s="2">
        <f>IF(OR(report!F6="",report!F7=""),NA(),report!F6/report!F7-1)</f>
        <v>-4.9922011701684643E-2</v>
      </c>
      <c r="E6" s="2">
        <f>IF(OR(report!H6="",report!H7=""),NA(),report!H6/report!H7-1)</f>
        <v>0.12335074382241418</v>
      </c>
      <c r="F6" s="2">
        <f>IF(OR(report!J6="",report!J7=""),NA(),report!J6/report!J7-1)</f>
        <v>-0.12848605577689243</v>
      </c>
      <c r="G6" s="2">
        <f>IF(OR(report!L6="",report!L7=""),NA(),report!L6/report!L7-1)</f>
        <v>-6.5090574147989022E-2</v>
      </c>
      <c r="H6" s="2">
        <f>IF(OR(report!N6="",report!N7=""),NA(),report!N6/report!N7-1)</f>
        <v>0.15929203539823011</v>
      </c>
      <c r="I6" s="2">
        <f>IF(OR(report!P6="",report!P7=""),NA(),report!P6/report!P7-1)</f>
        <v>-0.13795590900994015</v>
      </c>
      <c r="J6" s="2">
        <f>IF(OR(report!R6="",report!R7=""),NA(),report!R6/report!R7-1)</f>
        <v>-0.16926579396698904</v>
      </c>
      <c r="K6" s="2">
        <f>IF(OR(report!T6="",report!T7=""),NA(),report!T6/report!T7-1)</f>
        <v>-8.077830188679247E-2</v>
      </c>
      <c r="L6" s="2">
        <f>IF(OR(report!V6="",report!V7=""),NA(),report!V6/report!V7-1)</f>
        <v>-3.7359270716619264E-3</v>
      </c>
    </row>
    <row r="7" spans="1:12" x14ac:dyDescent="0.75">
      <c r="A7" s="1">
        <f>report!A7</f>
        <v>38929.041250000002</v>
      </c>
      <c r="B7" s="2">
        <f>IF(OR(report!B7="",report!B8=""),NA(),report!B7/report!B8-1)</f>
        <v>-2.4227234753550486E-2</v>
      </c>
      <c r="C7" s="2">
        <f>IF(OR(report!D7="",report!D8=""),NA(),report!D7/report!D8-1)</f>
        <v>-1.4479638009049833E-2</v>
      </c>
      <c r="D7" s="2">
        <f>IF(OR(report!F7="",report!F8=""),NA(),report!F7/report!F8-1)</f>
        <v>-0.11267994186046504</v>
      </c>
      <c r="E7" s="2">
        <f>IF(OR(report!H7="",report!H8=""),NA(),report!H7/report!H8-1)</f>
        <v>-0.11775853643444489</v>
      </c>
      <c r="F7" s="2">
        <f>IF(OR(report!J7="",report!J8=""),NA(),report!J7/report!J8-1)</f>
        <v>-5.8749999999999969E-2</v>
      </c>
      <c r="G7" s="2">
        <f>IF(OR(report!L7="",report!L8=""),NA(),report!L7/report!L8-1)</f>
        <v>1.2296341838302638E-3</v>
      </c>
      <c r="H7" s="2">
        <f>IF(OR(report!N7="",report!N8=""),NA(),report!N7/report!N8-1)</f>
        <v>2.7272727272727337E-2</v>
      </c>
      <c r="I7" s="2">
        <f>IF(OR(report!P7="",report!P8=""),NA(),report!P7/report!P8-1)</f>
        <v>1.3865234379570879E-2</v>
      </c>
      <c r="J7" s="2">
        <f>IF(OR(report!R7="",report!R8=""),NA(),report!R7/report!R8-1)</f>
        <v>-5.3646450500915654E-2</v>
      </c>
      <c r="K7" s="2">
        <f>IF(OR(report!T7="",report!T8=""),NA(),report!T7/report!T8-1)</f>
        <v>-9.1590787359400183E-2</v>
      </c>
      <c r="L7" s="2">
        <f>IF(OR(report!V7="",report!V8=""),NA(),report!V7/report!V8-1)</f>
        <v>7.8451323337567214E-3</v>
      </c>
    </row>
    <row r="8" spans="1:12" x14ac:dyDescent="0.75">
      <c r="A8" s="1">
        <f>report!A8</f>
        <v>38960.041250000002</v>
      </c>
      <c r="B8" s="2">
        <f>IF(OR(report!B8="",report!B9=""),NA(),report!B8/report!B9-1)</f>
        <v>-6.7514931186704819E-2</v>
      </c>
      <c r="C8" s="2">
        <f>IF(OR(report!D8="",report!D9=""),NA(),report!D8/report!D9-1)</f>
        <v>-5.1094890510948843E-2</v>
      </c>
      <c r="D8" s="2">
        <f>IF(OR(report!F8="",report!F9=""),NA(),report!F8/report!F9-1)</f>
        <v>3.2000014742857186E-2</v>
      </c>
      <c r="E8" s="2">
        <f>IF(OR(report!H8="",report!H9=""),NA(),report!H8/report!H9-1)</f>
        <v>-1.6506930090722682E-2</v>
      </c>
      <c r="F8" s="2">
        <f>IF(OR(report!J8="",report!J9=""),NA(),report!J8/report!J9-1)</f>
        <v>-7.6745527986151085E-2</v>
      </c>
      <c r="G8" s="2">
        <f>IF(OR(report!L8="",report!L9=""),NA(),report!L8/report!L9-1)</f>
        <v>-1.9885507683036985E-2</v>
      </c>
      <c r="H8" s="2">
        <f>IF(OR(report!N8="",report!N9=""),NA(),report!N8/report!N9-1)</f>
        <v>-2.5316455696202556E-2</v>
      </c>
      <c r="I8" s="2">
        <f>IF(OR(report!P8="",report!P9=""),NA(),report!P8/report!P9-1)</f>
        <v>-7.0750404093160912E-2</v>
      </c>
      <c r="J8" s="2">
        <f>IF(OR(report!R8="",report!R9=""),NA(),report!R8/report!R9-1)</f>
        <v>9.0193775689958899E-2</v>
      </c>
      <c r="K8" s="2">
        <f>IF(OR(report!T8="",report!T9=""),NA(),report!T8/report!T9-1)</f>
        <v>-1.6042780748661833E-3</v>
      </c>
      <c r="L8" s="2">
        <f>IF(OR(report!V8="",report!V9=""),NA(),report!V8/report!V9-1)</f>
        <v>7.7388676831655623E-3</v>
      </c>
    </row>
    <row r="9" spans="1:12" x14ac:dyDescent="0.75">
      <c r="A9" s="1">
        <f>report!A9</f>
        <v>38989.041250000002</v>
      </c>
      <c r="B9" s="2">
        <f>IF(OR(report!B9="",report!B10=""),NA(),report!B9/report!B10-1)</f>
        <v>-0.10587415834687719</v>
      </c>
      <c r="C9" s="2">
        <f>IF(OR(report!D9="",report!D10=""),NA(),report!D9/report!D10-1)</f>
        <v>0</v>
      </c>
      <c r="D9" s="2">
        <f>IF(OR(report!F9="",report!F10=""),NA(),report!F9/report!F10-1)</f>
        <v>7.6923044970414578E-2</v>
      </c>
      <c r="E9" s="2">
        <f>IF(OR(report!H9="",report!H10=""),NA(),report!H9/report!H10-1)</f>
        <v>-7.533235078065148E-2</v>
      </c>
      <c r="F9" s="2">
        <f>IF(OR(report!J9="",report!J10=""),NA(),report!J9/report!J10-1)</f>
        <v>-0.10531750129065576</v>
      </c>
      <c r="G9" s="2">
        <f>IF(OR(report!L9="",report!L10=""),NA(),report!L9/report!L10-1)</f>
        <v>-4.7632711621233947E-2</v>
      </c>
      <c r="H9" s="2">
        <f>IF(OR(report!N9="",report!N10=""),NA(),report!N9/report!N10-1)</f>
        <v>-4.8192771084337394E-2</v>
      </c>
      <c r="I9" s="2">
        <f>IF(OR(report!P9="",report!P10=""),NA(),report!P9/report!P10-1)</f>
        <v>-1.6670365866877423E-2</v>
      </c>
      <c r="J9" s="2">
        <f>IF(OR(report!R9="",report!R10=""),NA(),report!R9/report!R10-1)</f>
        <v>-4.3043380534951603E-2</v>
      </c>
      <c r="K9" s="2">
        <f>IF(OR(report!T9="",report!T10=""),NA(),report!T9/report!T10-1)</f>
        <v>-1.6017084890550537E-3</v>
      </c>
      <c r="L9" s="2">
        <f>IF(OR(report!V9="",report!V10=""),NA(),report!V9/report!V10-1)</f>
        <v>5.8268183704022203E-3</v>
      </c>
    </row>
    <row r="10" spans="1:12" x14ac:dyDescent="0.75">
      <c r="A10" s="1">
        <f>report!A10</f>
        <v>39021.041250000002</v>
      </c>
      <c r="B10" s="2">
        <f>IF(OR(report!B10="",report!B11=""),NA(),report!B10/report!B11-1)</f>
        <v>-4.3738898756660705E-2</v>
      </c>
      <c r="C10" s="2">
        <f>IF(OR(report!D10="",report!D11=""),NA(),report!D10/report!D11-1)</f>
        <v>-7.5793650793650746E-2</v>
      </c>
      <c r="D10" s="2">
        <f>IF(OR(report!F10="",report!F11=""),NA(),report!F10/report!F11-1)</f>
        <v>-0.10836761316872434</v>
      </c>
      <c r="E10" s="2">
        <f>IF(OR(report!H10="",report!H11=""),NA(),report!H10/report!H11-1)</f>
        <v>-6.1893756592715565E-2</v>
      </c>
      <c r="F10" s="2">
        <f>IF(OR(report!J10="",report!J11=""),NA(),report!J10/report!J11-1)</f>
        <v>-5.443007078350004E-2</v>
      </c>
      <c r="G10" s="2">
        <f>IF(OR(report!L10="",report!L11=""),NA(),report!L10/report!L11-1)</f>
        <v>-5.6833558863328859E-2</v>
      </c>
      <c r="H10" s="2">
        <f>IF(OR(report!N10="",report!N11=""),NA(),report!N10/report!N11-1)</f>
        <v>-0.11702127659574468</v>
      </c>
      <c r="I10" s="2">
        <f>IF(OR(report!P10="",report!P11=""),NA(),report!P10/report!P11-1)</f>
        <v>-1.4241912474590168E-2</v>
      </c>
      <c r="J10" s="2">
        <f>IF(OR(report!R10="",report!R11=""),NA(),report!R10/report!R11-1)</f>
        <v>-9.1206209784495895E-2</v>
      </c>
      <c r="K10" s="2">
        <f>IF(OR(report!T10="",report!T11=""),NA(),report!T10/report!T11-1)</f>
        <v>-8.7676570871894843E-2</v>
      </c>
      <c r="L10" s="2">
        <f>IF(OR(report!V10="",report!V11=""),NA(),report!V10/report!V11-1)</f>
        <v>-1.7016795131991391E-2</v>
      </c>
    </row>
    <row r="11" spans="1:12" x14ac:dyDescent="0.75">
      <c r="A11" s="1">
        <f>report!A11</f>
        <v>39051.041250000002</v>
      </c>
      <c r="B11" s="2">
        <f>IF(OR(report!B11="",report!B12=""),NA(),report!B11/report!B12-1)</f>
        <v>-0.16592592592592592</v>
      </c>
      <c r="C11" s="2">
        <f>IF(OR(report!D11="",report!D12=""),NA(),report!D11/report!D12-1)</f>
        <v>-2.0217729393468109E-2</v>
      </c>
      <c r="D11" s="2">
        <f>IF(OR(report!F11="",report!F12=""),NA(),report!F11/report!F12-1)</f>
        <v>-0.14235293108650504</v>
      </c>
      <c r="E11" s="2">
        <f>IF(OR(report!H11="",report!H12=""),NA(),report!H11/report!H12-1)</f>
        <v>2.1467321397721451E-2</v>
      </c>
      <c r="F11" s="2">
        <f>IF(OR(report!J11="",report!J12=""),NA(),report!J11/report!J12-1)</f>
        <v>-3.0295857988165698E-2</v>
      </c>
      <c r="G11" s="2">
        <f>IF(OR(report!L11="",report!L12=""),NA(),report!L11/report!L12-1)</f>
        <v>-4.9395420632878717E-2</v>
      </c>
      <c r="H11" s="2">
        <f>IF(OR(report!N11="",report!N12=""),NA(),report!N11/report!N12-1)</f>
        <v>-8.7378640776699101E-2</v>
      </c>
      <c r="I11" s="2">
        <f>IF(OR(report!P11="",report!P12=""),NA(),report!P11/report!P12-1)</f>
        <v>-8.1320445992988599E-2</v>
      </c>
      <c r="J11" s="2">
        <f>IF(OR(report!R11="",report!R12=""),NA(),report!R11/report!R12-1)</f>
        <v>-1.2008072653884927E-2</v>
      </c>
      <c r="K11" s="2">
        <f>IF(OR(report!T11="",report!T12=""),NA(),report!T11/report!T12-1)</f>
        <v>-0.13666947014297726</v>
      </c>
      <c r="L11" s="2">
        <f>IF(OR(report!V11="",report!V12=""),NA(),report!V11/report!V12-1)</f>
        <v>-9.7657793644729818E-3</v>
      </c>
    </row>
    <row r="12" spans="1:12" x14ac:dyDescent="0.75">
      <c r="A12" s="1">
        <f>report!A12</f>
        <v>39080.041250000002</v>
      </c>
      <c r="B12" s="2">
        <f>IF(OR(report!B12="",report!B13=""),NA(),report!B12/report!B13-1)</f>
        <v>-1.9963702359346636E-2</v>
      </c>
      <c r="C12" s="2">
        <f>IF(OR(report!D12="",report!D13=""),NA(),report!D12/report!D13-1)</f>
        <v>-5.9597806215722193E-2</v>
      </c>
      <c r="D12" s="2">
        <f>IF(OR(report!F12="",report!F13=""),NA(),report!F12/report!F13-1)</f>
        <v>-5.5555566666666722E-2</v>
      </c>
      <c r="E12" s="2">
        <f>IF(OR(report!H12="",report!H13=""),NA(),report!H12/report!H13-1)</f>
        <v>-5.4427834335314618E-2</v>
      </c>
      <c r="F12" s="2">
        <f>IF(OR(report!J12="",report!J13=""),NA(),report!J12/report!J13-1)</f>
        <v>-3.4726981951108127E-2</v>
      </c>
      <c r="G12" s="2">
        <f>IF(OR(report!L12="",report!L13=""),NA(),report!L12/report!L13-1)</f>
        <v>0.18253726802555525</v>
      </c>
      <c r="H12" s="2">
        <f>IF(OR(report!N12="",report!N13=""),NA(),report!N12/report!N13-1)</f>
        <v>3.0000000000000027E-2</v>
      </c>
      <c r="I12" s="2">
        <f>IF(OR(report!P12="",report!P13=""),NA(),report!P12/report!P13-1)</f>
        <v>4.9873210771580911E-2</v>
      </c>
      <c r="J12" s="2">
        <f>IF(OR(report!R12="",report!R13=""),NA(),report!R12/report!R13-1)</f>
        <v>-5.2218821729150822E-2</v>
      </c>
      <c r="K12" s="2">
        <f>IF(OR(report!T12="",report!T13=""),NA(),report!T12/report!T13-1)</f>
        <v>-2.5809094633346907E-2</v>
      </c>
      <c r="L12" s="2">
        <f>IF(OR(report!V12="",report!V13=""),NA(),report!V12/report!V13-1)</f>
        <v>-5.010928987284613E-3</v>
      </c>
    </row>
    <row r="13" spans="1:12" x14ac:dyDescent="0.75">
      <c r="A13" s="1">
        <f>report!A13</f>
        <v>39113.041250000002</v>
      </c>
      <c r="B13" s="2">
        <f>IF(OR(report!B13="",report!B14=""),NA(),report!B13/report!B14-1)</f>
        <v>6.2271062271062272E-2</v>
      </c>
      <c r="C13" s="2">
        <f>IF(OR(report!D13="",report!D14=""),NA(),report!D13/report!D14-1)</f>
        <v>2.1666044079193147E-2</v>
      </c>
      <c r="D13" s="2">
        <f>IF(OR(report!F13="",report!F14=""),NA(),report!F13/report!F14-1)</f>
        <v>-3.2258064516129004E-2</v>
      </c>
      <c r="E13" s="2">
        <f>IF(OR(report!H13="",report!H14=""),NA(),report!H13/report!H14-1)</f>
        <v>-3.2167527738889534E-2</v>
      </c>
      <c r="F13" s="2">
        <f>IF(OR(report!J13="",report!J14=""),NA(),report!J13/report!J14-1)</f>
        <v>3.6688832836506702E-3</v>
      </c>
      <c r="G13" s="2">
        <f>IF(OR(report!L13="",report!L14=""),NA(),report!L13/report!L14-1)</f>
        <v>-5.6002297530155176E-2</v>
      </c>
      <c r="H13" s="2">
        <f>IF(OR(report!N13="",report!N14=""),NA(),report!N13/report!N14-1)</f>
        <v>-0.1228070175438597</v>
      </c>
      <c r="I13" s="2">
        <f>IF(OR(report!P13="",report!P14=""),NA(),report!P13/report!P14-1)</f>
        <v>1.0679145651342425E-2</v>
      </c>
      <c r="J13" s="2">
        <f>IF(OR(report!R13="",report!R14=""),NA(),report!R13/report!R14-1)</f>
        <v>-3.6757254721326516E-2</v>
      </c>
      <c r="K13" s="2">
        <f>IF(OR(report!T13="",report!T14=""),NA(),report!T13/report!T14-1)</f>
        <v>0.13113994439295662</v>
      </c>
      <c r="L13" s="2">
        <f>IF(OR(report!V13="",report!V14=""),NA(),report!V13/report!V14-1)</f>
        <v>4.1970409151257382E-3</v>
      </c>
    </row>
    <row r="14" spans="1:12" x14ac:dyDescent="0.75">
      <c r="A14" s="1">
        <f>report!A14</f>
        <v>39141.041250000002</v>
      </c>
      <c r="B14" s="2">
        <f>IF(OR(report!B14="",report!B15=""),NA(),report!B14/report!B15-1)</f>
        <v>-6.5742074927954031E-2</v>
      </c>
      <c r="C14" s="2">
        <f>IF(OR(report!D14="",report!D15=""),NA(),report!D14/report!D15-1)</f>
        <v>5.1453260015710933E-2</v>
      </c>
      <c r="D14" s="2">
        <f>IF(OR(report!F14="",report!F15=""),NA(),report!F14/report!F15-1)</f>
        <v>-3.125E-2</v>
      </c>
      <c r="E14" s="2">
        <f>IF(OR(report!H14="",report!H15=""),NA(),report!H14/report!H15-1)</f>
        <v>-2.9134342177057126E-2</v>
      </c>
      <c r="F14" s="2">
        <f>IF(OR(report!J14="",report!J15=""),NA(),report!J14/report!J15-1)</f>
        <v>-0.16615678776290632</v>
      </c>
      <c r="G14" s="2">
        <f>IF(OR(report!L14="",report!L15=""),NA(),report!L14/report!L15-1)</f>
        <v>1.3977868375072644E-2</v>
      </c>
      <c r="H14" s="2">
        <f>IF(OR(report!N14="",report!N15=""),NA(),report!N14/report!N15-1)</f>
        <v>0</v>
      </c>
      <c r="I14" s="2">
        <f>IF(OR(report!P14="",report!P15=""),NA(),report!P14/report!P15-1)</f>
        <v>-5.9461630936205045E-2</v>
      </c>
      <c r="J14" s="2">
        <f>IF(OR(report!R14="",report!R15=""),NA(),report!R14/report!R15-1)</f>
        <v>-0.14962788875832356</v>
      </c>
      <c r="K14" s="2">
        <f>IF(OR(report!T14="",report!T15=""),NA(),report!T14/report!T15-1)</f>
        <v>-8.4429359355112532E-2</v>
      </c>
      <c r="L14" s="2">
        <f>IF(OR(report!V14="",report!V15=""),NA(),report!V14/report!V15-1)</f>
        <v>-1.2750133084720283E-2</v>
      </c>
    </row>
    <row r="15" spans="1:12" x14ac:dyDescent="0.75">
      <c r="A15" s="1">
        <f>report!A15</f>
        <v>39171.041250000002</v>
      </c>
      <c r="B15" s="2">
        <f>IF(OR(report!B15="",report!B16=""),NA(),report!B15/report!B16-1)</f>
        <v>-6.2162162162162193E-2</v>
      </c>
      <c r="C15" s="2">
        <f>IF(OR(report!D15="",report!D16=""),NA(),report!D15/report!D16-1)</f>
        <v>1.7585931254995968E-2</v>
      </c>
      <c r="D15" s="2">
        <f>IF(OR(report!F15="",report!F16=""),NA(),report!F15/report!F16-1)</f>
        <v>4.3478249527410417E-2</v>
      </c>
      <c r="E15" s="2">
        <f>IF(OR(report!H15="",report!H16=""),NA(),report!H15/report!H16-1)</f>
        <v>-4.0233359783578337E-2</v>
      </c>
      <c r="F15" s="2">
        <f>IF(OR(report!J15="",report!J16=""),NA(),report!J15/report!J16-1)</f>
        <v>9.9663582842724807E-2</v>
      </c>
      <c r="G15" s="2">
        <f>IF(OR(report!L15="",report!L16=""),NA(),report!L15/report!L16-1)</f>
        <v>-4.8489886395123305E-2</v>
      </c>
      <c r="H15" s="2">
        <f>IF(OR(report!N15="",report!N16=""),NA(),report!N15/report!N16-1)</f>
        <v>-4.7619047619047672E-2</v>
      </c>
      <c r="I15" s="2">
        <f>IF(OR(report!P15="",report!P16=""),NA(),report!P15/report!P16-1)</f>
        <v>2.7239019723067637E-2</v>
      </c>
      <c r="J15" s="2">
        <f>IF(OR(report!R15="",report!R16=""),NA(),report!R15/report!R16-1)</f>
        <v>-5.5214269854192977E-2</v>
      </c>
      <c r="K15" s="2">
        <f>IF(OR(report!T15="",report!T16=""),NA(),report!T15/report!T16-1)</f>
        <v>9.7555296856810081E-2</v>
      </c>
      <c r="L15" s="2">
        <f>IF(OR(report!V15="",report!V16=""),NA(),report!V15/report!V16-1)</f>
        <v>7.403491287755859E-3</v>
      </c>
    </row>
    <row r="16" spans="1:12" x14ac:dyDescent="0.75">
      <c r="A16" s="1">
        <f>report!A16</f>
        <v>39202.041250000002</v>
      </c>
      <c r="B16" s="2">
        <f>IF(OR(report!B16="",report!B17=""),NA(),report!B16/report!B17-1)</f>
        <v>-0.14165579237349568</v>
      </c>
      <c r="C16" s="2">
        <f>IF(OR(report!D16="",report!D17=""),NA(),report!D16/report!D17-1)</f>
        <v>-0.14607508532423208</v>
      </c>
      <c r="D16" s="2">
        <f>IF(OR(report!F16="",report!F17=""),NA(),report!F16/report!F17-1)</f>
        <v>-2.0755720907336572E-2</v>
      </c>
      <c r="E16" s="2">
        <f>IF(OR(report!H16="",report!H17=""),NA(),report!H16/report!H17-1)</f>
        <v>-8.454132525071778E-2</v>
      </c>
      <c r="F16" s="2">
        <f>IF(OR(report!J16="",report!J17=""),NA(),report!J16/report!J17-1)</f>
        <v>-5.088804629814403E-2</v>
      </c>
      <c r="G16" s="2">
        <f>IF(OR(report!L16="",report!L17=""),NA(),report!L16/report!L17-1)</f>
        <v>-3.0620467365027992E-2</v>
      </c>
      <c r="H16" s="2">
        <f>IF(OR(report!N16="",report!N17=""),NA(),report!N16/report!N17-1)</f>
        <v>-2.4999999999999467E-3</v>
      </c>
      <c r="I16" s="2">
        <f>IF(OR(report!P16="",report!P17=""),NA(),report!P16/report!P17-1)</f>
        <v>6.5289052302083928E-2</v>
      </c>
      <c r="J16" s="2">
        <f>IF(OR(report!R16="",report!R17=""),NA(),report!R16/report!R17-1)</f>
        <v>5.9353928179394666E-2</v>
      </c>
      <c r="K16" s="2">
        <f>IF(OR(report!T16="",report!T17=""),NA(),report!T16/report!T17-1)</f>
        <v>5.6840551181102317E-2</v>
      </c>
      <c r="L16" s="2">
        <f>IF(OR(report!V16="",report!V17=""),NA(),report!V16/report!V17-1)</f>
        <v>-3.6205574160841358E-5</v>
      </c>
    </row>
    <row r="17" spans="1:12" x14ac:dyDescent="0.75">
      <c r="A17" s="1">
        <f>report!A17</f>
        <v>39233.041250000002</v>
      </c>
      <c r="B17" s="2">
        <f>IF(OR(report!B17="",report!B18=""),NA(),report!B17/report!B18-1)</f>
        <v>3.4343131373725022E-2</v>
      </c>
      <c r="C17" s="2">
        <f>IF(OR(report!D17="",report!D18=""),NA(),report!D17/report!D18-1)</f>
        <v>4.7925608011444965E-2</v>
      </c>
      <c r="D17" s="2">
        <f>IF(OR(report!F17="",report!F18=""),NA(),report!F17/report!F18-1)</f>
        <v>-1.1052631462603935E-2</v>
      </c>
      <c r="E17" s="2">
        <f>IF(OR(report!H17="",report!H18=""),NA(),report!H17/report!H18-1)</f>
        <v>-8.2536122675038737E-3</v>
      </c>
      <c r="F17" s="2">
        <f>IF(OR(report!J17="",report!J18=""),NA(),report!J17/report!J18-1)</f>
        <v>1.0689794271883768E-2</v>
      </c>
      <c r="G17" s="2">
        <f>IF(OR(report!L17="",report!L18=""),NA(),report!L17/report!L18-1)</f>
        <v>5.4674220963172759E-2</v>
      </c>
      <c r="H17" s="2">
        <f>IF(OR(report!N17="",report!N18=""),NA(),report!N17/report!N18-1)</f>
        <v>-4.0000000000000036E-2</v>
      </c>
      <c r="I17" s="2">
        <f>IF(OR(report!P17="",report!P18=""),NA(),report!P17/report!P18-1)</f>
        <v>-3.0477421148466743E-2</v>
      </c>
      <c r="J17" s="2">
        <f>IF(OR(report!R17="",report!R18=""),NA(),report!R17/report!R18-1)</f>
        <v>-1.024367530653425E-2</v>
      </c>
      <c r="K17" s="2">
        <f>IF(OR(report!T17="",report!T18=""),NA(),report!T17/report!T18-1)</f>
        <v>-8.2967301122497394E-3</v>
      </c>
      <c r="L17" s="2">
        <f>IF(OR(report!V17="",report!V18=""),NA(),report!V17/report!V18-1)</f>
        <v>8.7497145831514356E-3</v>
      </c>
    </row>
    <row r="18" spans="1:12" x14ac:dyDescent="0.75">
      <c r="A18" s="1">
        <f>report!A18</f>
        <v>39262.041250000002</v>
      </c>
      <c r="B18" s="2">
        <f>IF(OR(report!B18="",report!B19=""),NA(),report!B18/report!B19-1)</f>
        <v>8.6347344411860538E-2</v>
      </c>
      <c r="C18" s="2">
        <f>IF(OR(report!D18="",report!D19=""),NA(),report!D18/report!D19-1)</f>
        <v>0.1219903691813804</v>
      </c>
      <c r="D18" s="2">
        <f>IF(OR(report!F18="",report!F19=""),NA(),report!F18/report!F19-1)</f>
        <v>-4.9999980499999874E-2</v>
      </c>
      <c r="E18" s="2">
        <f>IF(OR(report!H18="",report!H19=""),NA(),report!H18/report!H19-1)</f>
        <v>-3.7501253806326851E-4</v>
      </c>
      <c r="F18" s="2">
        <f>IF(OR(report!J18="",report!J19=""),NA(),report!J18/report!J19-1)</f>
        <v>-1.208702659145855E-3</v>
      </c>
      <c r="G18" s="2">
        <f>IF(OR(report!L18="",report!L19=""),NA(),report!L18/report!L19-1)</f>
        <v>-0.11639549436796004</v>
      </c>
      <c r="H18" s="2">
        <f>IF(OR(report!N18="",report!N19=""),NA(),report!N18/report!N19-1)</f>
        <v>-0.14089347079037806</v>
      </c>
      <c r="I18" s="2">
        <f>IF(OR(report!P18="",report!P19=""),NA(),report!P18/report!P19-1)</f>
        <v>7.8125025012610205E-2</v>
      </c>
      <c r="J18" s="2">
        <f>IF(OR(report!R18="",report!R19=""),NA(),report!R18/report!R19-1)</f>
        <v>-0.10538739239100237</v>
      </c>
      <c r="K18" s="2">
        <f>IF(OR(report!T18="",report!T19=""),NA(),report!T18/report!T19-1)</f>
        <v>2.6553106212424682E-2</v>
      </c>
      <c r="L18" s="2">
        <f>IF(OR(report!V18="",report!V19=""),NA(),report!V18/report!V19-1)</f>
        <v>4.4096635464654366E-3</v>
      </c>
    </row>
    <row r="19" spans="1:12" x14ac:dyDescent="0.75">
      <c r="A19" s="1">
        <f>report!A19</f>
        <v>39294.041250000002</v>
      </c>
      <c r="B19" s="2">
        <f>IF(OR(report!B19="",report!B20=""),NA(),report!B19/report!B20-1)</f>
        <v>-5.5110837438423488E-2</v>
      </c>
      <c r="C19" s="2">
        <f>IF(OR(report!D19="",report!D20=""),NA(),report!D19/report!D20-1)</f>
        <v>-3.5985605757696826E-3</v>
      </c>
      <c r="D19" s="2">
        <f>IF(OR(report!F19="",report!F20=""),NA(),report!F19/report!F20-1)</f>
        <v>1.5228426550542462E-2</v>
      </c>
      <c r="E19" s="2">
        <f>IF(OR(report!H19="",report!H20=""),NA(),report!H19/report!H20-1)</f>
        <v>-4.2893038566603536E-2</v>
      </c>
      <c r="F19" s="2">
        <f>IF(OR(report!J19="",report!J20=""),NA(),report!J19/report!J20-1)</f>
        <v>0.10335630140031116</v>
      </c>
      <c r="G19" s="2">
        <f>IF(OR(report!L19="",report!L20=""),NA(),report!L19/report!L20-1)</f>
        <v>2.4358974358974494E-2</v>
      </c>
      <c r="H19" s="2">
        <f>IF(OR(report!N19="",report!N20=""),NA(),report!N19/report!N20-1)</f>
        <v>2.464788732394374E-2</v>
      </c>
      <c r="I19" s="2">
        <f>IF(OR(report!P19="",report!P20=""),NA(),report!P19/report!P20-1)</f>
        <v>-7.4829952602463834E-2</v>
      </c>
      <c r="J19" s="2">
        <f>IF(OR(report!R19="",report!R20=""),NA(),report!R19/report!R20-1)</f>
        <v>-2.233082196429792E-2</v>
      </c>
      <c r="K19" s="2">
        <f>IF(OR(report!T19="",report!T20=""),NA(),report!T19/report!T20-1)</f>
        <v>1.6811003565970539E-2</v>
      </c>
      <c r="L19" s="2">
        <f>IF(OR(report!V19="",report!V20=""),NA(),report!V19/report!V20-1)</f>
        <v>-7.3819058981209329E-3</v>
      </c>
    </row>
    <row r="20" spans="1:12" x14ac:dyDescent="0.75">
      <c r="A20" s="1">
        <f>report!A20</f>
        <v>39325.041250000002</v>
      </c>
      <c r="B20" s="2">
        <f>IF(OR(report!B20="",report!B21=""),NA(),report!B20/report!B21-1)</f>
        <v>6.3697396430325792E-2</v>
      </c>
      <c r="C20" s="2">
        <f>IF(OR(report!D20="",report!D21=""),NA(),report!D20/report!D21-1)</f>
        <v>8.5032537960954446E-2</v>
      </c>
      <c r="D20" s="2">
        <f>IF(OR(report!F20="",report!F21=""),NA(),report!F20/report!F21-1)</f>
        <v>5.1020203561020772E-3</v>
      </c>
      <c r="E20" s="2">
        <f>IF(OR(report!H20="",report!H21=""),NA(),report!H20/report!H21-1)</f>
        <v>-6.7603758910547374E-2</v>
      </c>
      <c r="F20" s="2">
        <f>IF(OR(report!J20="",report!J21=""),NA(),report!J20/report!J21-1)</f>
        <v>4.8229263746505158E-2</v>
      </c>
      <c r="G20" s="2">
        <f>IF(OR(report!L20="",report!L21=""),NA(),report!L20/report!L21-1)</f>
        <v>0.1130136986301371</v>
      </c>
      <c r="H20" s="2">
        <f>IF(OR(report!N20="",report!N21=""),NA(),report!N20/report!N21-1)</f>
        <v>1.4285714285714235E-2</v>
      </c>
      <c r="I20" s="2">
        <f>IF(OR(report!P20="",report!P21=""),NA(),report!P20/report!P21-1)</f>
        <v>-5.5421668287103376E-2</v>
      </c>
      <c r="J20" s="2">
        <f>IF(OR(report!R20="",report!R21=""),NA(),report!R20/report!R21-1)</f>
        <v>-0.19924995923691502</v>
      </c>
      <c r="K20" s="2">
        <f>IF(OR(report!T20="",report!T21=""),NA(),report!T20/report!T21-1)</f>
        <v>-2.2896963663514236E-2</v>
      </c>
      <c r="L20" s="2">
        <f>IF(OR(report!V20="",report!V21=""),NA(),report!V20/report!V21-1)</f>
        <v>-1.4462651718075703E-3</v>
      </c>
    </row>
    <row r="21" spans="1:12" x14ac:dyDescent="0.75">
      <c r="A21" s="1">
        <f>report!A21</f>
        <v>39353.041250000002</v>
      </c>
      <c r="B21" s="2">
        <f>IF(OR(report!B21="",report!B22=""),NA(),report!B21/report!B22-1)</f>
        <v>7.0910290237466977E-3</v>
      </c>
      <c r="C21" s="2">
        <f>IF(OR(report!D21="",report!D22=""),NA(),report!D21/report!D22-1)</f>
        <v>1.3632365875110075E-2</v>
      </c>
      <c r="D21" s="2">
        <f>IF(OR(report!F21="",report!F22=""),NA(),report!F21/report!F22-1)</f>
        <v>-1.9999980200000045E-2</v>
      </c>
      <c r="E21" s="2">
        <f>IF(OR(report!H21="",report!H22=""),NA(),report!H21/report!H22-1)</f>
        <v>6.6000713417032175E-2</v>
      </c>
      <c r="F21" s="2">
        <f>IF(OR(report!J21="",report!J22=""),NA(),report!J21/report!J22-1)</f>
        <v>-0.1269324654190398</v>
      </c>
      <c r="G21" s="2">
        <f>IF(OR(report!L21="",report!L22=""),NA(),report!L21/report!L22-1)</f>
        <v>-7.2279586973788779E-2</v>
      </c>
      <c r="H21" s="2">
        <f>IF(OR(report!N21="",report!N22=""),NA(),report!N21/report!N22-1)</f>
        <v>-4.4368600682593851E-2</v>
      </c>
      <c r="I21" s="2">
        <f>IF(OR(report!P21="",report!P22=""),NA(),report!P21/report!P22-1)</f>
        <v>8.7811239480962699E-2</v>
      </c>
      <c r="J21" s="2">
        <f>IF(OR(report!R21="",report!R22=""),NA(),report!R21/report!R22-1)</f>
        <v>-0.28109248622670258</v>
      </c>
      <c r="K21" s="2">
        <f>IF(OR(report!T21="",report!T22=""),NA(),report!T21/report!T22-1)</f>
        <v>-7.0337806571031947E-2</v>
      </c>
      <c r="L21" s="2">
        <f>IF(OR(report!V21="",report!V22=""),NA(),report!V21/report!V22-1)</f>
        <v>-1.8994910079978666E-2</v>
      </c>
    </row>
    <row r="22" spans="1:12" x14ac:dyDescent="0.75">
      <c r="A22" s="1">
        <f>report!A22</f>
        <v>39386.041250000002</v>
      </c>
      <c r="B22" s="2">
        <f>IF(OR(report!B22="",report!B23=""),NA(),report!B22/report!B23-1)</f>
        <v>6.6401062416998613E-3</v>
      </c>
      <c r="C22" s="2">
        <f>IF(OR(report!D22="",report!D23=""),NA(),report!D22/report!D23-1)</f>
        <v>4.0256175663311966E-2</v>
      </c>
      <c r="D22" s="2">
        <f>IF(OR(report!F22="",report!F23=""),NA(),report!F22/report!F23-1)</f>
        <v>-0.10714285809948976</v>
      </c>
      <c r="E22" s="2">
        <f>IF(OR(report!H22="",report!H23=""),NA(),report!H22/report!H23-1)</f>
        <v>0.1194089535300995</v>
      </c>
      <c r="F22" s="2">
        <f>IF(OR(report!J22="",report!J23=""),NA(),report!J22/report!J23-1)</f>
        <v>3.8664694696809665E-2</v>
      </c>
      <c r="G22" s="2">
        <f>IF(OR(report!L22="",report!L23=""),NA(),report!L22/report!L23-1)</f>
        <v>0.11844832691738238</v>
      </c>
      <c r="H22" s="2">
        <f>IF(OR(report!N22="",report!N23=""),NA(),report!N22/report!N23-1)</f>
        <v>0</v>
      </c>
      <c r="I22" s="2">
        <f>IF(OR(report!P22="",report!P23=""),NA(),report!P22/report!P23-1)</f>
        <v>1.4178157018911008E-2</v>
      </c>
      <c r="J22" s="2">
        <f>IF(OR(report!R22="",report!R23=""),NA(),report!R22/report!R23-1)</f>
        <v>-2.0813406282281788E-2</v>
      </c>
      <c r="K22" s="2">
        <f>IF(OR(report!T22="",report!T23=""),NA(),report!T22/report!T23-1)</f>
        <v>9.584178498985807E-2</v>
      </c>
      <c r="L22" s="2">
        <f>IF(OR(report!V22="",report!V23=""),NA(),report!V22/report!V23-1)</f>
        <v>3.2840789831052319E-3</v>
      </c>
    </row>
    <row r="23" spans="1:12" x14ac:dyDescent="0.75">
      <c r="A23" s="1">
        <f>report!A23</f>
        <v>39416.041250000002</v>
      </c>
      <c r="B23" s="2">
        <f>IF(OR(report!B23="",report!B24=""),NA(),report!B23/report!B24-1)</f>
        <v>-7.3800738007380184E-2</v>
      </c>
      <c r="C23" s="2">
        <f>IF(OR(report!D23="",report!D24=""),NA(),report!D23/report!D24-1)</f>
        <v>9.9597585513078402E-2</v>
      </c>
      <c r="D23" s="2">
        <f>IF(OR(report!F23="",report!F24=""),NA(),report!F23/report!F24-1)</f>
        <v>-0.11811023715047431</v>
      </c>
      <c r="E23" s="2">
        <f>IF(OR(report!H23="",report!H24=""),NA(),report!H23/report!H24-1)</f>
        <v>2.5179117838138421E-2</v>
      </c>
      <c r="F23" s="2">
        <f>IF(OR(report!J23="",report!J24=""),NA(),report!J23/report!J24-1)</f>
        <v>4.9911268855368229E-2</v>
      </c>
      <c r="G23" s="2">
        <f>IF(OR(report!L23="",report!L24=""),NA(),report!L23/report!L24-1)</f>
        <v>-5.8019525801952576E-2</v>
      </c>
      <c r="H23" s="2">
        <f>IF(OR(report!N23="",report!N24=""),NA(),report!N23/report!N24-1)</f>
        <v>-3.6184210526315708E-2</v>
      </c>
      <c r="I23" s="2">
        <f>IF(OR(report!P23="",report!P24=""),NA(),report!P23/report!P24-1)</f>
        <v>-5.6635345291983552E-2</v>
      </c>
      <c r="J23" s="2">
        <f>IF(OR(report!R23="",report!R24=""),NA(),report!R23/report!R24-1)</f>
        <v>0.13653954863677864</v>
      </c>
      <c r="K23" s="2">
        <f>IF(OR(report!T23="",report!T24=""),NA(),report!T23/report!T24-1)</f>
        <v>4.6709129511677272E-2</v>
      </c>
      <c r="L23" s="2">
        <f>IF(OR(report!V23="",report!V24=""),NA(),report!V23/report!V24-1)</f>
        <v>-4.6740795213975339E-3</v>
      </c>
    </row>
    <row r="24" spans="1:12" x14ac:dyDescent="0.75">
      <c r="A24" s="1">
        <f>report!A24</f>
        <v>39447.041250000002</v>
      </c>
      <c r="B24" s="2">
        <f>IF(OR(report!B24="",report!B25=""),NA(),report!B24/report!B25-1)</f>
        <v>5.2550231839258998E-3</v>
      </c>
      <c r="C24" s="2">
        <f>IF(OR(report!D24="",report!D25=""),NA(),report!D24/report!D25-1)</f>
        <v>-4.3310875842155983E-2</v>
      </c>
      <c r="D24" s="2">
        <f>IF(OR(report!F24="",report!F25=""),NA(),report!F24/report!F25-1)</f>
        <v>4.0983589828003542E-2</v>
      </c>
      <c r="E24" s="2">
        <f>IF(OR(report!H24="",report!H25=""),NA(),report!H24/report!H25-1)</f>
        <v>5.3710084119149348E-2</v>
      </c>
      <c r="F24" s="2">
        <f>IF(OR(report!J24="",report!J25=""),NA(),report!J24/report!J25-1)</f>
        <v>9.4043887147334804E-3</v>
      </c>
      <c r="G24" s="2">
        <f>IF(OR(report!L24="",report!L25=""),NA(),report!L24/report!L25-1)</f>
        <v>0.24134349030470914</v>
      </c>
      <c r="H24" s="2">
        <f>IF(OR(report!N24="",report!N25=""),NA(),report!N24/report!N25-1)</f>
        <v>0</v>
      </c>
      <c r="I24" s="2">
        <f>IF(OR(report!P24="",report!P25=""),NA(),report!P24/report!P25-1)</f>
        <v>9.1220088946346589E-2</v>
      </c>
      <c r="J24" s="2">
        <f>IF(OR(report!R24="",report!R25=""),NA(),report!R24/report!R25-1)</f>
        <v>-8.0083203328133123E-2</v>
      </c>
      <c r="K24" s="2">
        <f>IF(OR(report!T24="",report!T25=""),NA(),report!T24/report!T25-1)</f>
        <v>-2.9366306027820754E-2</v>
      </c>
      <c r="L24" s="2">
        <f>IF(OR(report!V24="",report!V25=""),NA(),report!V24/report!V25-1)</f>
        <v>-5.6611461075184444E-3</v>
      </c>
    </row>
    <row r="25" spans="1:12" x14ac:dyDescent="0.75">
      <c r="A25" s="1">
        <f>report!A25</f>
        <v>39478.041250000002</v>
      </c>
      <c r="B25" s="2">
        <f>IF(OR(report!B25="",report!B26=""),NA(),report!B25/report!B26-1)</f>
        <v>0.11244841815680884</v>
      </c>
      <c r="C25" s="2">
        <f>IF(OR(report!D25="",report!D26=""),NA(),report!D25/report!D26-1)</f>
        <v>5.8083252662148865E-3</v>
      </c>
      <c r="D25" s="2">
        <f>IF(OR(report!F25="",report!F26=""),NA(),report!F25/report!F26-1)</f>
        <v>-6.1099795836254689E-3</v>
      </c>
      <c r="E25" s="2">
        <f>IF(OR(report!H25="",report!H26=""),NA(),report!H25/report!H26-1)</f>
        <v>-5.599672190845606E-2</v>
      </c>
      <c r="F25" s="2">
        <f>IF(OR(report!J25="",report!J26=""),NA(),report!J25/report!J26-1)</f>
        <v>3.9329764952292345E-2</v>
      </c>
      <c r="G25" s="2">
        <f>IF(OR(report!L25="",report!L26=""),NA(),report!L25/report!L26-1)</f>
        <v>-4.1486890142714894E-2</v>
      </c>
      <c r="H25" s="2">
        <f>IF(OR(report!N25="",report!N26=""),NA(),report!N25/report!N26-1)</f>
        <v>-5.0000000000000044E-2</v>
      </c>
      <c r="I25" s="2">
        <f>IF(OR(report!P25="",report!P26=""),NA(),report!P25/report!P26-1)</f>
        <v>-8.5914757589425905E-3</v>
      </c>
      <c r="J25" s="2">
        <f>IF(OR(report!R25="",report!R26=""),NA(),report!R25/report!R26-1)</f>
        <v>-3.1271797256452016E-2</v>
      </c>
      <c r="K25" s="2">
        <f>IF(OR(report!T25="",report!T26=""),NA(),report!T25/report!T26-1)</f>
        <v>-2.5693730729702269E-3</v>
      </c>
      <c r="L25" s="2">
        <f>IF(OR(report!V25="",report!V26=""),NA(),report!V25/report!V26-1)</f>
        <v>3.3768289096665072E-3</v>
      </c>
    </row>
    <row r="26" spans="1:12" x14ac:dyDescent="0.75">
      <c r="A26" s="1">
        <f>report!A26</f>
        <v>39507.041250000002</v>
      </c>
      <c r="B26" s="2">
        <f>IF(OR(report!B26="",report!B27=""),NA(),report!B26/report!B27-1)</f>
        <v>-9.1250000000000053E-2</v>
      </c>
      <c r="C26" s="2">
        <f>IF(OR(report!D26="",report!D27=""),NA(),report!D26/report!D27-1)</f>
        <v>4.5546558704453455E-2</v>
      </c>
      <c r="D26" s="2">
        <f>IF(OR(report!F26="",report!F27=""),NA(),report!F26/report!F27-1)</f>
        <v>-1.8314131477927154E-2</v>
      </c>
      <c r="E26" s="2">
        <f>IF(OR(report!H26="",report!H27=""),NA(),report!H26/report!H27-1)</f>
        <v>2.0573563508972104E-2</v>
      </c>
      <c r="F26" s="2">
        <f>IF(OR(report!J26="",report!J27=""),NA(),report!J26/report!J27-1)</f>
        <v>-6.8703944516688376E-2</v>
      </c>
      <c r="G26" s="2">
        <f>IF(OR(report!L26="",report!L27=""),NA(),report!L26/report!L27-1)</f>
        <v>0.20135566188197762</v>
      </c>
      <c r="H26" s="2">
        <f>IF(OR(report!N26="",report!N27=""),NA(),report!N26/report!N27-1)</f>
        <v>1.2658227848101111E-2</v>
      </c>
      <c r="I26" s="2">
        <f>IF(OR(report!P26="",report!P27=""),NA(),report!P26/report!P27-1)</f>
        <v>-6.3122243059059779E-2</v>
      </c>
      <c r="J26" s="2">
        <f>IF(OR(report!R26="",report!R27=""),NA(),report!R26/report!R27-1)</f>
        <v>-0.19804841666925643</v>
      </c>
      <c r="K26" s="2">
        <f>IF(OR(report!T26="",report!T27=""),NA(),report!T26/report!T27-1)</f>
        <v>-0.13626276076342658</v>
      </c>
      <c r="L26" s="2">
        <f>IF(OR(report!V26="",report!V27=""),NA(),report!V26/report!V27-1)</f>
        <v>5.3346286408479937E-3</v>
      </c>
    </row>
    <row r="27" spans="1:12" x14ac:dyDescent="0.75">
      <c r="A27" s="1">
        <f>report!A27</f>
        <v>39538.041250000002</v>
      </c>
      <c r="B27" s="2">
        <f>IF(OR(report!B27="",report!B28=""),NA(),report!B27/report!B28-1)</f>
        <v>-4.7051816557474591E-2</v>
      </c>
      <c r="C27" s="2">
        <f>IF(OR(report!D27="",report!D28=""),NA(),report!D27/report!D28-1)</f>
        <v>-3.4684904738641831E-2</v>
      </c>
      <c r="D27" s="2">
        <f>IF(OR(report!F27="",report!F28=""),NA(),report!F27/report!F28-1)</f>
        <v>1.9070904645476894E-2</v>
      </c>
      <c r="E27" s="2">
        <f>IF(OR(report!H27="",report!H28=""),NA(),report!H27/report!H28-1)</f>
        <v>0.12193983115251106</v>
      </c>
      <c r="F27" s="2">
        <f>IF(OR(report!J27="",report!J28=""),NA(),report!J27/report!J28-1)</f>
        <v>-3.6709134096307716E-3</v>
      </c>
      <c r="G27" s="2">
        <f>IF(OR(report!L27="",report!L28=""),NA(),report!L27/report!L28-1)</f>
        <v>-0.13187954309449645</v>
      </c>
      <c r="H27" s="2">
        <f>IF(OR(report!N27="",report!N28=""),NA(),report!N27/report!N28-1)</f>
        <v>5.3333333333333455E-2</v>
      </c>
      <c r="I27" s="2">
        <f>IF(OR(report!P27="",report!P28=""),NA(),report!P27/report!P28-1)</f>
        <v>-5.1055279317304247E-2</v>
      </c>
      <c r="J27" s="2">
        <f>IF(OR(report!R27="",report!R28=""),NA(),report!R27/report!R28-1)</f>
        <v>4.1223103057757671E-2</v>
      </c>
      <c r="K27" s="2">
        <f>IF(OR(report!T27="",report!T28=""),NA(),report!T27/report!T28-1)</f>
        <v>6.1734213006597649E-2</v>
      </c>
      <c r="L27" s="2">
        <f>IF(OR(report!V27="",report!V28=""),NA(),report!V27/report!V28-1)</f>
        <v>-2.6270520538911324E-3</v>
      </c>
    </row>
    <row r="28" spans="1:12" x14ac:dyDescent="0.75">
      <c r="A28" s="1">
        <f>report!A28</f>
        <v>39568.041250000002</v>
      </c>
      <c r="B28" s="2">
        <f>IF(OR(report!B28="",report!B29=""),NA(),report!B28/report!B29-1)</f>
        <v>1.0433745714710785E-3</v>
      </c>
      <c r="C28" s="2">
        <f>IF(OR(report!D28="",report!D29=""),NA(),report!D28/report!D29-1)</f>
        <v>-9.196515004840311E-3</v>
      </c>
      <c r="D28" s="2">
        <f>IF(OR(report!F28="",report!F29=""),NA(),report!F28/report!F29-1)</f>
        <v>7.9155672823219003E-2</v>
      </c>
      <c r="E28" s="2">
        <f>IF(OR(report!H28="",report!H29=""),NA(),report!H28/report!H29-1)</f>
        <v>0.17378217913045946</v>
      </c>
      <c r="F28" s="2">
        <f>IF(OR(report!J28="",report!J29=""),NA(),report!J28/report!J29-1)</f>
        <v>-7.657028913260211E-2</v>
      </c>
      <c r="G28" s="2">
        <f>IF(OR(report!L28="",report!L29=""),NA(),report!L28/report!L29-1)</f>
        <v>-6.8665377176015396E-2</v>
      </c>
      <c r="H28" s="2">
        <f>IF(OR(report!N28="",report!N29=""),NA(),report!N28/report!N29-1)</f>
        <v>0</v>
      </c>
      <c r="I28" s="2">
        <f>IF(OR(report!P28="",report!P29=""),NA(),report!P28/report!P29-1)</f>
        <v>2.5773209274557729E-2</v>
      </c>
      <c r="J28" s="2">
        <f>IF(OR(report!R28="",report!R29=""),NA(),report!R28/report!R29-1)</f>
        <v>1.5075872035735571E-2</v>
      </c>
      <c r="K28" s="2">
        <f>IF(OR(report!T28="",report!T29=""),NA(),report!T28/report!T29-1)</f>
        <v>-6.9706269180184077E-2</v>
      </c>
      <c r="L28" s="2">
        <f>IF(OR(report!V28="",report!V29=""),NA(),report!V28/report!V29-1)</f>
        <v>1.3395988156084115E-5</v>
      </c>
    </row>
    <row r="29" spans="1:12" x14ac:dyDescent="0.75">
      <c r="A29" s="1">
        <f>report!A29</f>
        <v>39598.041250000002</v>
      </c>
      <c r="B29" s="2">
        <f>IF(OR(report!B29="",report!B30=""),NA(),report!B29/report!B30-1)</f>
        <v>-1.3396844298898536E-3</v>
      </c>
      <c r="C29" s="2">
        <f>IF(OR(report!D29="",report!D30=""),NA(),report!D29/report!D30-1)</f>
        <v>0.15161649944258637</v>
      </c>
      <c r="D29" s="2">
        <f>IF(OR(report!F29="",report!F30=""),NA(),report!F29/report!F30-1)</f>
        <v>2.6455026455027841E-3</v>
      </c>
      <c r="E29" s="2">
        <f>IF(OR(report!H29="",report!H30=""),NA(),report!H29/report!H30-1)</f>
        <v>0.20157838991891142</v>
      </c>
      <c r="F29" s="2">
        <f>IF(OR(report!J29="",report!J30=""),NA(),report!J29/report!J30-1)</f>
        <v>3.4660614813286639E-2</v>
      </c>
      <c r="G29" s="2">
        <f>IF(OR(report!L29="",report!L30=""),NA(),report!L29/report!L30-1)</f>
        <v>9.9220411055988667E-2</v>
      </c>
      <c r="H29" s="2">
        <f>IF(OR(report!N29="",report!N30=""),NA(),report!N29/report!N30-1)</f>
        <v>0</v>
      </c>
      <c r="I29" s="2">
        <f>IF(OR(report!P29="",report!P30=""),NA(),report!P29/report!P30-1)</f>
        <v>0.15613825493175915</v>
      </c>
      <c r="J29" s="2">
        <f>IF(OR(report!R29="",report!R30=""),NA(),report!R29/report!R30-1)</f>
        <v>0.1270035165648713</v>
      </c>
      <c r="K29" s="2">
        <f>IF(OR(report!T29="",report!T30=""),NA(),report!T29/report!T30-1)</f>
        <v>0.11594911937377672</v>
      </c>
      <c r="L29" s="2">
        <f>IF(OR(report!V29="",report!V30=""),NA(),report!V29/report!V30-1)</f>
        <v>-2.4475370794541096E-3</v>
      </c>
    </row>
    <row r="30" spans="1:12" x14ac:dyDescent="0.75">
      <c r="A30" s="1">
        <f>report!A30</f>
        <v>39629.041250000002</v>
      </c>
      <c r="B30" s="2">
        <f>IF(OR(report!B30="",report!B31=""),NA(),report!B30/report!B31-1)</f>
        <v>3.4174876847290925E-2</v>
      </c>
      <c r="C30" s="2">
        <f>IF(OR(report!D30="",report!D31=""),NA(),report!D30/report!D31-1)</f>
        <v>0.19440745672436766</v>
      </c>
      <c r="D30" s="2">
        <f>IF(OR(report!F30="",report!F31=""),NA(),report!F30/report!F31-1)</f>
        <v>0</v>
      </c>
      <c r="E30" s="2">
        <f>IF(OR(report!H30="",report!H31=""),NA(),report!H30/report!H31-1)</f>
        <v>1.4004690041743206E-2</v>
      </c>
      <c r="F30" s="2">
        <f>IF(OR(report!J30="",report!J31=""),NA(),report!J30/report!J31-1)</f>
        <v>0.11527841693511265</v>
      </c>
      <c r="G30" s="2">
        <f>IF(OR(report!L30="",report!L31=""),NA(),report!L30/report!L31-1)</f>
        <v>-1.5695849319846578E-2</v>
      </c>
      <c r="H30" s="2">
        <f>IF(OR(report!N30="",report!N31=""),NA(),report!N30/report!N31-1)</f>
        <v>3.4482758620689724E-2</v>
      </c>
      <c r="I30" s="2">
        <f>IF(OR(report!P30="",report!P31=""),NA(),report!P30/report!P31-1)</f>
        <v>-2.9833476830027905E-2</v>
      </c>
      <c r="J30" s="2">
        <f>IF(OR(report!R30="",report!R31=""),NA(),report!R30/report!R31-1)</f>
        <v>1.1684080440399924E-2</v>
      </c>
      <c r="K30" s="2">
        <f>IF(OR(report!T30="",report!T31=""),NA(),report!T30/report!T31-1)</f>
        <v>1.4698677119060477E-3</v>
      </c>
      <c r="L30" s="2">
        <f>IF(OR(report!V30="",report!V31=""),NA(),report!V30/report!V31-1)</f>
        <v>4.1448681763116557E-3</v>
      </c>
    </row>
    <row r="31" spans="1:12" x14ac:dyDescent="0.75">
      <c r="A31" s="1">
        <f>report!A31</f>
        <v>39660.041250000002</v>
      </c>
      <c r="B31" s="2">
        <f>IF(OR(report!B31="",report!B32=""),NA(),report!B31/report!B32-1)</f>
        <v>-5.2370532458059893E-2</v>
      </c>
      <c r="C31" s="2">
        <f>IF(OR(report!D31="",report!D32=""),NA(),report!D31/report!D32-1)</f>
        <v>3.3012379642365808E-2</v>
      </c>
      <c r="D31" s="2">
        <f>IF(OR(report!F31="",report!F32=""),NA(),report!F31/report!F32-1)</f>
        <v>0.18905316137150052</v>
      </c>
      <c r="E31" s="2">
        <f>IF(OR(report!H31="",report!H32=""),NA(),report!H31/report!H32-1)</f>
        <v>2.2502540536742943E-2</v>
      </c>
      <c r="F31" s="2">
        <f>IF(OR(report!J31="",report!J32=""),NA(),report!J31/report!J32-1)</f>
        <v>4.8998310403089551E-2</v>
      </c>
      <c r="G31" s="2">
        <f>IF(OR(report!L31="",report!L32=""),NA(),report!L31/report!L32-1)</f>
        <v>-1.3080895008605764E-2</v>
      </c>
      <c r="H31" s="2">
        <f>IF(OR(report!N31="",report!N32=""),NA(),report!N31/report!N32-1)</f>
        <v>3.5714285714285809E-2</v>
      </c>
      <c r="I31" s="2">
        <f>IF(OR(report!P31="",report!P32=""),NA(),report!P31/report!P32-1)</f>
        <v>-4.4630982160141164E-2</v>
      </c>
      <c r="J31" s="2">
        <f>IF(OR(report!R31="",report!R32=""),NA(),report!R31/report!R32-1)</f>
        <v>0.57530529172320199</v>
      </c>
      <c r="K31" s="2">
        <f>IF(OR(report!T31="",report!T32=""),NA(),report!T31/report!T32-1)</f>
        <v>8.7663202771116389E-2</v>
      </c>
      <c r="L31" s="2">
        <f>IF(OR(report!V31="",report!V32=""),NA(),report!V31/report!V32-1)</f>
        <v>-7.5429605161174695E-3</v>
      </c>
    </row>
    <row r="32" spans="1:12" x14ac:dyDescent="0.75">
      <c r="A32" s="1">
        <f>report!A32</f>
        <v>39689.041250000002</v>
      </c>
      <c r="B32" s="2">
        <f>IF(OR(report!B32="",report!B33=""),NA(),report!B32/report!B33-1)</f>
        <v>-2.6189436927106513E-3</v>
      </c>
      <c r="C32" s="2">
        <f>IF(OR(report!D32="",report!D33=""),NA(),report!D32/report!D33-1)</f>
        <v>0.10402429764616539</v>
      </c>
      <c r="D32" s="2">
        <f>IF(OR(report!F32="",report!F33=""),NA(),report!F32/report!F33-1)</f>
        <v>-0.14081081081081082</v>
      </c>
      <c r="E32" s="2">
        <f>IF(OR(report!H32="",report!H33=""),NA(),report!H32/report!H33-1)</f>
        <v>6.383751468859411E-2</v>
      </c>
      <c r="F32" s="2">
        <f>IF(OR(report!J32="",report!J33=""),NA(),report!J32/report!J33-1)</f>
        <v>0.18642611683848798</v>
      </c>
      <c r="G32" s="2">
        <f>IF(OR(report!L32="",report!L33=""),NA(),report!L32/report!L33-1)</f>
        <v>0.31447963800904977</v>
      </c>
      <c r="H32" s="2">
        <f>IF(OR(report!N32="",report!N33=""),NA(),report!N32/report!N33-1)</f>
        <v>0</v>
      </c>
      <c r="I32" s="2">
        <f>IF(OR(report!P32="",report!P33=""),NA(),report!P32/report!P33-1)</f>
        <v>-4.0288412709388766E-2</v>
      </c>
      <c r="J32" s="2">
        <f>IF(OR(report!R32="",report!R33=""),NA(),report!R32/report!R33-1)</f>
        <v>0.30032218471923877</v>
      </c>
      <c r="K32" s="2">
        <f>IF(OR(report!T32="",report!T33=""),NA(),report!T32/report!T33-1)</f>
        <v>-1.8617021276595702E-3</v>
      </c>
      <c r="L32" s="2">
        <f>IF(OR(report!V32="",report!V33=""),NA(),report!V32/report!V33-1)</f>
        <v>-9.4809145414009866E-3</v>
      </c>
    </row>
    <row r="33" spans="1:12" x14ac:dyDescent="0.75">
      <c r="A33" s="1">
        <f>report!A33</f>
        <v>39721.041250000002</v>
      </c>
      <c r="B33" s="2">
        <f>IF(OR(report!B33="",report!B34=""),NA(),report!B33/report!B34-1)</f>
        <v>0.12157310704960844</v>
      </c>
      <c r="C33" s="2">
        <f>IF(OR(report!D33="",report!D34=""),NA(),report!D33/report!D34-1)</f>
        <v>0.95111111111111102</v>
      </c>
      <c r="D33" s="2">
        <f>IF(OR(report!F33="",report!F34=""),NA(),report!F33/report!F34-1)</f>
        <v>0.1212121212121211</v>
      </c>
      <c r="E33" s="2">
        <f>IF(OR(report!H33="",report!H34=""),NA(),report!H33/report!H34-1)</f>
        <v>0.18224698809138018</v>
      </c>
      <c r="F33" s="2">
        <f>IF(OR(report!J33="",report!J34=""),NA(),report!J33/report!J34-1)</f>
        <v>0.40749697702539311</v>
      </c>
      <c r="G33" s="2">
        <f>IF(OR(report!L33="",report!L34=""),NA(),report!L33/report!L34-1)</f>
        <v>1.6372315035799523</v>
      </c>
      <c r="H33" s="2">
        <f>IF(OR(report!N33="",report!N34=""),NA(),report!N33/report!N34-1)</f>
        <v>0.16666666666666674</v>
      </c>
      <c r="I33" s="2">
        <f>IF(OR(report!P33="",report!P34=""),NA(),report!P33/report!P34-1)</f>
        <v>0.10032666284142255</v>
      </c>
      <c r="J33" s="2">
        <f>IF(OR(report!R33="",report!R34=""),NA(),report!R33/report!R34-1)</f>
        <v>0.12816962353959349</v>
      </c>
      <c r="K33" s="2">
        <f>IF(OR(report!T33="",report!T34=""),NA(),report!T33/report!T34-1)</f>
        <v>8.8592935726693689E-2</v>
      </c>
      <c r="L33" s="2">
        <f>IF(OR(report!V33="",report!V34=""),NA(),report!V33/report!V34-1)</f>
        <v>1.880331898168297E-2</v>
      </c>
    </row>
    <row r="34" spans="1:12" x14ac:dyDescent="0.75">
      <c r="A34" s="1">
        <f>report!A34</f>
        <v>39752.041250000002</v>
      </c>
      <c r="B34" s="2">
        <f>IF(OR(report!B34="",report!B35=""),NA(),report!B34/report!B35-1)</f>
        <v>-2.6064844246662444E-2</v>
      </c>
      <c r="C34" s="2">
        <f>IF(OR(report!D34="",report!D35=""),NA(),report!D34/report!D35-1)</f>
        <v>1.4836795252224366E-3</v>
      </c>
      <c r="D34" s="2">
        <f>IF(OR(report!F34="",report!F35=""),NA(),report!F34/report!F35-1)</f>
        <v>-0.21334922526817646</v>
      </c>
      <c r="E34" s="2">
        <f>IF(OR(report!H34="",report!H35=""),NA(),report!H34/report!H35-1)</f>
        <v>-0.21162945772513408</v>
      </c>
      <c r="F34" s="2">
        <f>IF(OR(report!J34="",report!J35=""),NA(),report!J34/report!J35-1)</f>
        <v>0.15880429705744969</v>
      </c>
      <c r="G34" s="2">
        <f>IF(OR(report!L34="",report!L35=""),NA(),report!L34/report!L35-1)</f>
        <v>0.2892307692307694</v>
      </c>
      <c r="H34" s="2">
        <f>IF(OR(report!N34="",report!N35=""),NA(),report!N34/report!N35-1)</f>
        <v>-4.0000000000000036E-2</v>
      </c>
      <c r="I34" s="2">
        <f>IF(OR(report!P34="",report!P35=""),NA(),report!P34/report!P35-1)</f>
        <v>2.0719211768172929E-2</v>
      </c>
      <c r="J34" s="2">
        <f>IF(OR(report!R34="",report!R35=""),NA(),report!R34/report!R35-1)</f>
        <v>6.9282064605524774E-4</v>
      </c>
      <c r="K34" s="2">
        <f>IF(OR(report!T34="",report!T35=""),NA(),report!T34/report!T35-1)</f>
        <v>-5.9368191721132946E-2</v>
      </c>
      <c r="L34" s="2">
        <f>IF(OR(report!V34="",report!V35=""),NA(),report!V34/report!V35-1)</f>
        <v>-8.7833398090727544E-3</v>
      </c>
    </row>
    <row r="35" spans="1:12" x14ac:dyDescent="0.75">
      <c r="A35" s="1">
        <f>report!A35</f>
        <v>39780.041250000002</v>
      </c>
      <c r="B35" s="2">
        <f>IF(OR(report!B35="",report!B36=""),NA(),report!B35/report!B36-1)</f>
        <v>7.8875171467764016E-2</v>
      </c>
      <c r="C35" s="2">
        <f>IF(OR(report!D35="",report!D36=""),NA(),report!D35/report!D36-1)</f>
        <v>-0.24524076147816343</v>
      </c>
      <c r="D35" s="2">
        <f>IF(OR(report!F35="",report!F36=""),NA(),report!F35/report!F36-1)</f>
        <v>2.3843586075367185E-4</v>
      </c>
      <c r="E35" s="2">
        <f>IF(OR(report!H35="",report!H36=""),NA(),report!H35/report!H36-1)</f>
        <v>-5.9758433391305932E-2</v>
      </c>
      <c r="F35" s="2">
        <f>IF(OR(report!J35="",report!J36=""),NA(),report!J35/report!J36-1)</f>
        <v>-0.13946945337620575</v>
      </c>
      <c r="G35" s="2">
        <f>IF(OR(report!L35="",report!L36=""),NA(),report!L35/report!L36-1)</f>
        <v>-7.1428571428571397E-2</v>
      </c>
      <c r="H35" s="2">
        <f>IF(OR(report!N35="",report!N36=""),NA(),report!N35/report!N36-1)</f>
        <v>0</v>
      </c>
      <c r="I35" s="2">
        <f>IF(OR(report!P35="",report!P36=""),NA(),report!P35/report!P36-1)</f>
        <v>-7.8155870380916093E-2</v>
      </c>
      <c r="J35" s="2">
        <f>IF(OR(report!R35="",report!R36=""),NA(),report!R35/report!R36-1)</f>
        <v>-0.31565222544894211</v>
      </c>
      <c r="K35" s="2">
        <f>IF(OR(report!T35="",report!T36=""),NA(),report!T35/report!T36-1)</f>
        <v>-7.5675675675676013E-3</v>
      </c>
      <c r="L35" s="2">
        <f>IF(OR(report!V35="",report!V36=""),NA(),report!V35/report!V36-1)</f>
        <v>-8.5231756673560533E-3</v>
      </c>
    </row>
    <row r="36" spans="1:12" x14ac:dyDescent="0.75">
      <c r="A36" s="1">
        <f>report!A36</f>
        <v>39813.041250000002</v>
      </c>
      <c r="B36" s="2">
        <f>IF(OR(report!B36="",report!B37=""),NA(),report!B36/report!B37-1)</f>
        <v>0.1344096479284187</v>
      </c>
      <c r="C36" s="2">
        <f>IF(OR(report!D36="",report!D37=""),NA(),report!D36/report!D37-1)</f>
        <v>0.12468513853904284</v>
      </c>
      <c r="D36" s="2">
        <f>IF(OR(report!F36="",report!F37=""),NA(),report!F36/report!F37-1)</f>
        <v>-6.7792842853967694E-2</v>
      </c>
      <c r="E36" s="2">
        <f>IF(OR(report!H36="",report!H37=""),NA(),report!H36/report!H37-1)</f>
        <v>0.17563528538376105</v>
      </c>
      <c r="F36" s="2">
        <f>IF(OR(report!J36="",report!J37=""),NA(),report!J36/report!J37-1)</f>
        <v>0.31431590068674065</v>
      </c>
      <c r="G36" s="2">
        <f>IF(OR(report!L36="",report!L37=""),NA(),report!L36/report!L37-1)</f>
        <v>0.12540192926045024</v>
      </c>
      <c r="H36" s="2">
        <f>IF(OR(report!N36="",report!N37=""),NA(),report!N36/report!N37-1)</f>
        <v>1.6260162601625883E-2</v>
      </c>
      <c r="I36" s="2">
        <f>IF(OR(report!P36="",report!P37=""),NA(),report!P36/report!P37-1)</f>
        <v>-1.8319006196827359E-2</v>
      </c>
      <c r="J36" s="2">
        <f>IF(OR(report!R36="",report!R37=""),NA(),report!R36/report!R37-1)</f>
        <v>0.30879615265280802</v>
      </c>
      <c r="K36" s="2">
        <f>IF(OR(report!T36="",report!T37=""),NA(),report!T36/report!T37-1)</f>
        <v>0.23497997329773024</v>
      </c>
      <c r="L36" s="2">
        <f>IF(OR(report!V36="",report!V37=""),NA(),report!V36/report!V37-1)</f>
        <v>7.5426488900338651E-3</v>
      </c>
    </row>
    <row r="37" spans="1:12" x14ac:dyDescent="0.75">
      <c r="A37" s="1">
        <f>report!A37</f>
        <v>39843.041250000002</v>
      </c>
      <c r="B37" s="2">
        <f>IF(OR(report!B37="",report!B38=""),NA(),report!B37/report!B38-1)</f>
        <v>0.19474785033697417</v>
      </c>
      <c r="C37" s="2">
        <f>IF(OR(report!D37="",report!D38=""),NA(),report!D37/report!D38-1)</f>
        <v>0.37370242214532867</v>
      </c>
      <c r="D37" s="2">
        <f>IF(OR(report!F37="",report!F38=""),NA(),report!F37/report!F38-1)</f>
        <v>0.12475000000000014</v>
      </c>
      <c r="E37" s="2">
        <f>IF(OR(report!H37="",report!H38=""),NA(),report!H37/report!H38-1)</f>
        <v>3.5603721615809159E-2</v>
      </c>
      <c r="F37" s="2">
        <f>IF(OR(report!J37="",report!J38=""),NA(),report!J37/report!J38-1)</f>
        <v>0.17650714729645745</v>
      </c>
      <c r="G37" s="2">
        <f>IF(OR(report!L37="",report!L38=""),NA(),report!L37/report!L38-1)</f>
        <v>0.26938775510204072</v>
      </c>
      <c r="H37" s="2">
        <f>IF(OR(report!N37="",report!N38=""),NA(),report!N37/report!N38-1)</f>
        <v>3.7974683544303778E-2</v>
      </c>
      <c r="I37" s="2">
        <f>IF(OR(report!P37="",report!P38=""),NA(),report!P37/report!P38-1)</f>
        <v>-1.6949100125965955E-2</v>
      </c>
      <c r="J37" s="2">
        <f>IF(OR(report!R37="",report!R38=""),NA(),report!R37/report!R38-1)</f>
        <v>-3.9630512514898797E-2</v>
      </c>
      <c r="K37" s="2">
        <f>IF(OR(report!T37="",report!T38=""),NA(),report!T37/report!T38-1)</f>
        <v>5.4929577464788881E-2</v>
      </c>
      <c r="L37" s="2">
        <f>IF(OR(report!V37="",report!V38=""),NA(),report!V37/report!V38-1)</f>
        <v>-2.6530500652711675E-3</v>
      </c>
    </row>
    <row r="38" spans="1:12" x14ac:dyDescent="0.75">
      <c r="A38" s="1">
        <f>report!A38</f>
        <v>39871.041250000002</v>
      </c>
      <c r="B38" s="2">
        <f>IF(OR(report!B38="",report!B39=""),NA(),report!B38/report!B39-1)</f>
        <v>-0.18193916349809891</v>
      </c>
      <c r="C38" s="2">
        <f>IF(OR(report!D38="",report!D39=""),NA(),report!D38/report!D39-1)</f>
        <v>-7.8149920255183303E-2</v>
      </c>
      <c r="D38" s="2">
        <f>IF(OR(report!F38="",report!F39=""),NA(),report!F38/report!F39-1)</f>
        <v>0</v>
      </c>
      <c r="E38" s="2">
        <f>IF(OR(report!H38="",report!H39=""),NA(),report!H38/report!H39-1)</f>
        <v>2.7163259425941888E-3</v>
      </c>
      <c r="F38" s="2">
        <f>IF(OR(report!J38="",report!J39=""),NA(),report!J38/report!J39-1)</f>
        <v>-0.14551248008497075</v>
      </c>
      <c r="G38" s="2">
        <f>IF(OR(report!L38="",report!L39=""),NA(),report!L38/report!L39-1)</f>
        <v>-7.7212806026365266E-2</v>
      </c>
      <c r="H38" s="2">
        <f>IF(OR(report!N38="",report!N39=""),NA(),report!N38/report!N39-1)</f>
        <v>-8.846153846153848E-2</v>
      </c>
      <c r="I38" s="2">
        <f>IF(OR(report!P38="",report!P39=""),NA(),report!P38/report!P39-1)</f>
        <v>2.8994951236559263E-2</v>
      </c>
      <c r="J38" s="2">
        <f>IF(OR(report!R38="",report!R39=""),NA(),report!R38/report!R39-1)</f>
        <v>-9.4013632989134011E-2</v>
      </c>
      <c r="K38" s="2">
        <f>IF(OR(report!T38="",report!T39=""),NA(),report!T38/report!T39-1)</f>
        <v>-0.14121560326579985</v>
      </c>
      <c r="L38" s="2">
        <f>IF(OR(report!V38="",report!V39=""),NA(),report!V38/report!V39-1)</f>
        <v>-1.4776217535503844E-2</v>
      </c>
    </row>
    <row r="39" spans="1:12" x14ac:dyDescent="0.75">
      <c r="A39" s="1">
        <f>report!A39</f>
        <v>39903.041250000002</v>
      </c>
      <c r="B39" s="2">
        <f>IF(OR(report!B39="",report!B40=""),NA(),report!B39/report!B40-1)</f>
        <v>-0.15745635111324685</v>
      </c>
      <c r="C39" s="2">
        <f>IF(OR(report!D39="",report!D40=""),NA(),report!D39/report!D40-1)</f>
        <v>-0.12795549374130744</v>
      </c>
      <c r="D39" s="2">
        <f>IF(OR(report!F39="",report!F40=""),NA(),report!F39/report!F40-1)</f>
        <v>0</v>
      </c>
      <c r="E39" s="2">
        <f>IF(OR(report!H39="",report!H40=""),NA(),report!H39/report!H40-1)</f>
        <v>-8.0955780539773925E-2</v>
      </c>
      <c r="F39" s="2">
        <f>IF(OR(report!J39="",report!J40=""),NA(),report!J39/report!J40-1)</f>
        <v>-0.13225806451612909</v>
      </c>
      <c r="G39" s="2">
        <f>IF(OR(report!L39="",report!L40=""),NA(),report!L39/report!L40-1)</f>
        <v>-0.36634844868735095</v>
      </c>
      <c r="H39" s="2">
        <f>IF(OR(report!N39="",report!N40=""),NA(),report!N39/report!N40-1)</f>
        <v>-3.703703703703709E-2</v>
      </c>
      <c r="I39" s="2">
        <f>IF(OR(report!P39="",report!P40=""),NA(),report!P39/report!P40-1)</f>
        <v>-8.0945695725021305E-2</v>
      </c>
      <c r="J39" s="2">
        <f>IF(OR(report!R39="",report!R40=""),NA(),report!R39/report!R40-1)</f>
        <v>-1.5285438957931885E-2</v>
      </c>
      <c r="K39" s="2">
        <f>IF(OR(report!T39="",report!T40=""),NA(),report!T39/report!T40-1)</f>
        <v>-0.12141339001062701</v>
      </c>
      <c r="L39" s="2">
        <f>IF(OR(report!V39="",report!V40=""),NA(),report!V39/report!V40-1)</f>
        <v>1.6145189891005884E-3</v>
      </c>
    </row>
    <row r="40" spans="1:12" x14ac:dyDescent="0.75">
      <c r="A40" s="1">
        <f>report!A40</f>
        <v>39933.041250000002</v>
      </c>
      <c r="B40" s="2">
        <f>IF(OR(report!B40="",report!B41=""),NA(),report!B40/report!B41-1)</f>
        <v>-0.1067391615395622</v>
      </c>
      <c r="C40" s="2">
        <f>IF(OR(report!D40="",report!D41=""),NA(),report!D40/report!D41-1)</f>
        <v>-0.22604951560818076</v>
      </c>
      <c r="D40" s="2">
        <f>IF(OR(report!F40="",report!F41=""),NA(),report!F40/report!F41-1)</f>
        <v>-9.0909090909090939E-2</v>
      </c>
      <c r="E40" s="2">
        <f>IF(OR(report!H40="",report!H41=""),NA(),report!H40/report!H41-1)</f>
        <v>1.6678733992947947E-2</v>
      </c>
      <c r="F40" s="2">
        <f>IF(OR(report!J40="",report!J41=""),NA(),report!J40/report!J41-1)</f>
        <v>-0.30559999999999998</v>
      </c>
      <c r="G40" s="2">
        <f>IF(OR(report!L40="",report!L41=""),NA(),report!L40/report!L41-1)</f>
        <v>-0.4204702627939142</v>
      </c>
      <c r="H40" s="2">
        <f>IF(OR(report!N40="",report!N41=""),NA(),report!N40/report!N41-1)</f>
        <v>3.8461538461538547E-2</v>
      </c>
      <c r="I40" s="2">
        <f>IF(OR(report!P40="",report!P41=""),NA(),report!P40/report!P41-1)</f>
        <v>-1.9642478262705487E-2</v>
      </c>
      <c r="J40" s="2">
        <f>IF(OR(report!R40="",report!R41=""),NA(),report!R40/report!R41-1)</f>
        <v>-0.24693458785846556</v>
      </c>
      <c r="K40" s="2">
        <f>IF(OR(report!T40="",report!T41=""),NA(),report!T40/report!T41-1)</f>
        <v>-2.6887280248190204E-2</v>
      </c>
      <c r="L40" s="2">
        <f>IF(OR(report!V40="",report!V41=""),NA(),report!V40/report!V41-1)</f>
        <v>-3.6088085187279129E-3</v>
      </c>
    </row>
    <row r="41" spans="1:12" x14ac:dyDescent="0.75">
      <c r="A41" s="1">
        <f>report!A41</f>
        <v>39962.041250000002</v>
      </c>
      <c r="B41" s="2">
        <f>IF(OR(report!B41="",report!B42=""),NA(),report!B41/report!B42-1)</f>
        <v>-1.1433471487780622E-3</v>
      </c>
      <c r="C41" s="2">
        <f>IF(OR(report!D41="",report!D42=""),NA(),report!D41/report!D42-1)</f>
        <v>2.9933481152993213E-2</v>
      </c>
      <c r="D41" s="2">
        <f>IF(OR(report!F41="",report!F42=""),NA(),report!F41/report!F42-1)</f>
        <v>4.7619047619047672E-2</v>
      </c>
      <c r="E41" s="2">
        <f>IF(OR(report!H41="",report!H42=""),NA(),report!H41/report!H42-1)</f>
        <v>-0.18014266644296661</v>
      </c>
      <c r="F41" s="2">
        <f>IF(OR(report!J41="",report!J42=""),NA(),report!J41/report!J42-1)</f>
        <v>-2.4960998439937487E-2</v>
      </c>
      <c r="G41" s="2">
        <f>IF(OR(report!L41="",report!L42=""),NA(),report!L41/report!L42-1)</f>
        <v>3.1383737517831856E-2</v>
      </c>
      <c r="H41" s="2">
        <f>IF(OR(report!N41="",report!N42=""),NA(),report!N41/report!N42-1)</f>
        <v>-9.722222222222221E-2</v>
      </c>
      <c r="I41" s="2">
        <f>IF(OR(report!P41="",report!P42=""),NA(),report!P41/report!P42-1)</f>
        <v>8.5182001477357439E-3</v>
      </c>
      <c r="J41" s="2">
        <f>IF(OR(report!R41="",report!R42=""),NA(),report!R41/report!R42-1)</f>
        <v>-5.1909845788849385E-2</v>
      </c>
      <c r="K41" s="2">
        <f>IF(OR(report!T41="",report!T42=""),NA(),report!T41/report!T42-1)</f>
        <v>-7.1868583162217892E-3</v>
      </c>
      <c r="L41" s="2">
        <f>IF(OR(report!V41="",report!V42=""),NA(),report!V41/report!V42-1)</f>
        <v>-1.0121412644515937E-2</v>
      </c>
    </row>
    <row r="42" spans="1:12" x14ac:dyDescent="0.75">
      <c r="A42" s="1">
        <f>report!A42</f>
        <v>39994.041250000002</v>
      </c>
      <c r="B42" s="2">
        <f>IF(OR(report!B42="",report!B43=""),NA(),report!B42/report!B43-1)</f>
        <v>-5.292365998917159E-2</v>
      </c>
      <c r="C42" s="2">
        <f>IF(OR(report!D42="",report!D43=""),NA(),report!D42/report!D43-1)</f>
        <v>-6.6079295154185536E-3</v>
      </c>
      <c r="D42" s="2">
        <f>IF(OR(report!F42="",report!F43=""),NA(),report!F42/report!F43-1)</f>
        <v>0</v>
      </c>
      <c r="E42" s="2">
        <f>IF(OR(report!H42="",report!H43=""),NA(),report!H42/report!H43-1)</f>
        <v>-9.2772398664537792E-2</v>
      </c>
      <c r="F42" s="2">
        <f>IF(OR(report!J42="",report!J43=""),NA(),report!J42/report!J43-1)</f>
        <v>-1.5965612526865347E-2</v>
      </c>
      <c r="G42" s="2">
        <f>IF(OR(report!L42="",report!L43=""),NA(),report!L42/report!L43-1)</f>
        <v>-0.27055150884495316</v>
      </c>
      <c r="H42" s="2">
        <f>IF(OR(report!N42="",report!N43=""),NA(),report!N42/report!N43-1)</f>
        <v>-6.6753078418664846E-2</v>
      </c>
      <c r="I42" s="2">
        <f>IF(OR(report!P42="",report!P43=""),NA(),report!P42/report!P43-1)</f>
        <v>-8.1680909046798145E-2</v>
      </c>
      <c r="J42" s="2">
        <f>IF(OR(report!R42="",report!R43=""),NA(),report!R42/report!R43-1)</f>
        <v>3.0937648738695867E-3</v>
      </c>
      <c r="K42" s="2">
        <f>IF(OR(report!T42="",report!T43=""),NA(),report!T42/report!T43-1)</f>
        <v>-0.13325917686318134</v>
      </c>
      <c r="L42" s="2">
        <f>IF(OR(report!V42="",report!V43=""),NA(),report!V42/report!V43-1)</f>
        <v>-2.8029788606200867E-3</v>
      </c>
    </row>
    <row r="43" spans="1:12" x14ac:dyDescent="0.75">
      <c r="A43" s="1">
        <f>report!A43</f>
        <v>40025.041250000002</v>
      </c>
      <c r="B43" s="2">
        <f>IF(OR(report!B43="",report!B44=""),NA(),report!B43/report!B44-1)</f>
        <v>-4.8428645028335993E-2</v>
      </c>
      <c r="C43" s="2">
        <f>IF(OR(report!D43="",report!D44=""),NA(),report!D43/report!D44-1)</f>
        <v>-0.29666924864446165</v>
      </c>
      <c r="D43" s="2">
        <f>IF(OR(report!F43="",report!F44=""),NA(),report!F43/report!F44-1)</f>
        <v>0.20034295513003708</v>
      </c>
      <c r="E43" s="2">
        <f>IF(OR(report!H43="",report!H44=""),NA(),report!H43/report!H44-1)</f>
        <v>6.3073405069322463E-2</v>
      </c>
      <c r="F43" s="2">
        <f>IF(OR(report!J43="",report!J44=""),NA(),report!J43/report!J44-1)</f>
        <v>-0.16892064302117882</v>
      </c>
      <c r="G43" s="2">
        <f>IF(OR(report!L43="",report!L44=""),NA(),report!L43/report!L44-1)</f>
        <v>-6.2439024390243958E-2</v>
      </c>
      <c r="H43" s="2">
        <f>IF(OR(report!N43="",report!N44=""),NA(),report!N43/report!N44-1)</f>
        <v>-3.5625000000000018E-2</v>
      </c>
      <c r="I43" s="2">
        <f>IF(OR(report!P43="",report!P44=""),NA(),report!P43/report!P44-1)</f>
        <v>-4.4166235901638817E-2</v>
      </c>
      <c r="J43" s="2">
        <f>IF(OR(report!R43="",report!R44=""),NA(),report!R43/report!R44-1)</f>
        <v>1.4485755673587564E-2</v>
      </c>
      <c r="K43" s="2">
        <f>IF(OR(report!T43="",report!T44=""),NA(),report!T43/report!T44-1)</f>
        <v>-5.0084530853761522E-2</v>
      </c>
      <c r="L43" s="2">
        <f>IF(OR(report!V43="",report!V44=""),NA(),report!V43/report!V44-1)</f>
        <v>-4.9060252092836265E-4</v>
      </c>
    </row>
    <row r="44" spans="1:12" x14ac:dyDescent="0.75">
      <c r="A44" s="1">
        <f>report!A44</f>
        <v>40056.041250000002</v>
      </c>
      <c r="B44" s="2">
        <f>IF(OR(report!B44="",report!B45=""),NA(),report!B44/report!B45-1)</f>
        <v>3.4786085565773783E-2</v>
      </c>
      <c r="C44" s="2">
        <f>IF(OR(report!D44="",report!D45=""),NA(),report!D44/report!D45-1)</f>
        <v>1.0963194988253822E-2</v>
      </c>
      <c r="D44" s="2">
        <f>IF(OR(report!F44="",report!F45=""),NA(),report!F44/report!F45-1)</f>
        <v>2.9117647058823692E-2</v>
      </c>
      <c r="E44" s="2">
        <f>IF(OR(report!H44="",report!H45=""),NA(),report!H44/report!H45-1)</f>
        <v>-9.9870976021084745E-2</v>
      </c>
      <c r="F44" s="2">
        <f>IF(OR(report!J44="",report!J45=""),NA(),report!J44/report!J45-1)</f>
        <v>-0.13277273733126793</v>
      </c>
      <c r="G44" s="2">
        <f>IF(OR(report!L44="",report!L45=""),NA(),report!L44/report!L45-1)</f>
        <v>-0.13282571912013541</v>
      </c>
      <c r="H44" s="2">
        <f>IF(OR(report!N44="",report!N45=""),NA(),report!N44/report!N45-1)</f>
        <v>0</v>
      </c>
      <c r="I44" s="2">
        <f>IF(OR(report!P44="",report!P45=""),NA(),report!P44/report!P45-1)</f>
        <v>1.5898245602314676E-2</v>
      </c>
      <c r="J44" s="2">
        <f>IF(OR(report!R44="",report!R45=""),NA(),report!R44/report!R45-1)</f>
        <v>-8.3952583156404859E-2</v>
      </c>
      <c r="K44" s="2">
        <f>IF(OR(report!T44="",report!T45=""),NA(),report!T44/report!T45-1)</f>
        <v>8.0954409884959055E-3</v>
      </c>
      <c r="L44" s="2">
        <f>IF(OR(report!V44="",report!V45=""),NA(),report!V44/report!V45-1)</f>
        <v>3.1466752914988128E-3</v>
      </c>
    </row>
    <row r="45" spans="1:12" x14ac:dyDescent="0.75">
      <c r="A45" s="1">
        <f>report!A45</f>
        <v>40086.041250000002</v>
      </c>
      <c r="B45" s="2">
        <f>IF(OR(report!B45="",report!B46=""),NA(),report!B45/report!B46-1)</f>
        <v>-2.3174065876839012E-2</v>
      </c>
      <c r="C45" s="2">
        <f>IF(OR(report!D45="",report!D46=""),NA(),report!D45/report!D46-1)</f>
        <v>0.26938369781312121</v>
      </c>
      <c r="D45" s="2">
        <f>IF(OR(report!F45="",report!F46=""),NA(),report!F45/report!F46-1)</f>
        <v>0.11475409836065564</v>
      </c>
      <c r="E45" s="2">
        <f>IF(OR(report!H45="",report!H46=""),NA(),report!H45/report!H46-1)</f>
        <v>0.17388671254797128</v>
      </c>
      <c r="F45" s="2">
        <f>IF(OR(report!J45="",report!J46=""),NA(),report!J45/report!J46-1)</f>
        <v>4.3407988917109064E-2</v>
      </c>
      <c r="G45" s="2">
        <f>IF(OR(report!L45="",report!L46=""),NA(),report!L45/report!L46-1)</f>
        <v>-2.595797280593326E-2</v>
      </c>
      <c r="H45" s="2">
        <f>IF(OR(report!N45="",report!N46=""),NA(),report!N45/report!N46-1)</f>
        <v>-9.2879256965943124E-3</v>
      </c>
      <c r="I45" s="2">
        <f>IF(OR(report!P45="",report!P46=""),NA(),report!P45/report!P46-1)</f>
        <v>8.6981602816496251E-2</v>
      </c>
      <c r="J45" s="2">
        <f>IF(OR(report!R45="",report!R46=""),NA(),report!R45/report!R46-1)</f>
        <v>-7.3898082910044183E-2</v>
      </c>
      <c r="K45" s="2">
        <f>IF(OR(report!T45="",report!T46=""),NA(),report!T45/report!T46-1)</f>
        <v>-1.7014036580179637E-3</v>
      </c>
      <c r="L45" s="2">
        <f>IF(OR(report!V45="",report!V46=""),NA(),report!V45/report!V46-1)</f>
        <v>-1.7292036489552243E-2</v>
      </c>
    </row>
    <row r="46" spans="1:12" x14ac:dyDescent="0.75">
      <c r="A46" s="1">
        <f>report!A46</f>
        <v>40116.041250000002</v>
      </c>
      <c r="B46" s="2">
        <f>IF(OR(report!B46="",report!B47=""),NA(),report!B46/report!B47-1)</f>
        <v>-6.8066003397233676E-2</v>
      </c>
      <c r="C46" s="2">
        <f>IF(OR(report!D46="",report!D47=""),NA(),report!D46/report!D47-1)</f>
        <v>-6.331471135940403E-2</v>
      </c>
      <c r="D46" s="2">
        <f>IF(OR(report!F46="",report!F47=""),NA(),report!F46/report!F47-1)</f>
        <v>-4.6875E-2</v>
      </c>
      <c r="E46" s="2">
        <f>IF(OR(report!H46="",report!H47=""),NA(),report!H46/report!H47-1)</f>
        <v>-9.8826099427509528E-2</v>
      </c>
      <c r="F46" s="2">
        <f>IF(OR(report!J46="",report!J47=""),NA(),report!J46/report!J47-1)</f>
        <v>-3.2178770949720659E-2</v>
      </c>
      <c r="G46" s="2">
        <f>IF(OR(report!L46="",report!L47=""),NA(),report!L46/report!L47-1)</f>
        <v>1.5906236919213113E-2</v>
      </c>
      <c r="H46" s="2">
        <f>IF(OR(report!N46="",report!N47=""),NA(),report!N46/report!N47-1)</f>
        <v>9.3749999999999112E-3</v>
      </c>
      <c r="I46" s="2">
        <f>IF(OR(report!P46="",report!P47=""),NA(),report!P46/report!P47-1)</f>
        <v>-4.0353832950878354E-2</v>
      </c>
      <c r="J46" s="2">
        <f>IF(OR(report!R46="",report!R47=""),NA(),report!R46/report!R47-1)</f>
        <v>-0.18980452026152461</v>
      </c>
      <c r="K46" s="2">
        <f>IF(OR(report!T46="",report!T47=""),NA(),report!T46/report!T47-1)</f>
        <v>-0.11249528123820296</v>
      </c>
      <c r="L46" s="2">
        <f>IF(OR(report!V46="",report!V47=""),NA(),report!V46/report!V47-1)</f>
        <v>-3.9703476373169622E-3</v>
      </c>
    </row>
    <row r="47" spans="1:12" x14ac:dyDescent="0.75">
      <c r="A47" s="1">
        <f>report!A47</f>
        <v>40147.041250000002</v>
      </c>
      <c r="B47" s="2">
        <f>IF(OR(report!B47="",report!B48=""),NA(),report!B47/report!B48-1)</f>
        <v>-4.7718082033506581E-2</v>
      </c>
      <c r="C47" s="2">
        <f>IF(OR(report!D47="",report!D48=""),NA(),report!D47/report!D48-1)</f>
        <v>-5.6239015817223237E-2</v>
      </c>
      <c r="D47" s="2">
        <f>IF(OR(report!F47="",report!F48=""),NA(),report!F47/report!F48-1)</f>
        <v>-0.101123595505618</v>
      </c>
      <c r="E47" s="2">
        <f>IF(OR(report!H47="",report!H48=""),NA(),report!H47/report!H48-1)</f>
        <v>-9.9557517735297973E-2</v>
      </c>
      <c r="F47" s="2">
        <f>IF(OR(report!J47="",report!J48=""),NA(),report!J47/report!J48-1)</f>
        <v>-6.4590301003344508E-2</v>
      </c>
      <c r="G47" s="2">
        <f>IF(OR(report!L47="",report!L48=""),NA(),report!L47/report!L48-1)</f>
        <v>3.554399653229301E-2</v>
      </c>
      <c r="H47" s="2">
        <f>IF(OR(report!N47="",report!N48=""),NA(),report!N47/report!N48-1)</f>
        <v>-8.5714285714285743E-2</v>
      </c>
      <c r="I47" s="2">
        <f>IF(OR(report!P47="",report!P48=""),NA(),report!P47/report!P48-1)</f>
        <v>-7.3258171820414941E-2</v>
      </c>
      <c r="J47" s="2">
        <f>IF(OR(report!R47="",report!R48=""),NA(),report!R47/report!R48-1)</f>
        <v>8.0583847367666106E-2</v>
      </c>
      <c r="K47" s="2">
        <f>IF(OR(report!T47="",report!T48=""),NA(),report!T47/report!T48-1)</f>
        <v>-9.7444633730834895E-2</v>
      </c>
      <c r="L47" s="2">
        <f>IF(OR(report!V47="",report!V48=""),NA(),report!V47/report!V48-1)</f>
        <v>-4.8820790098663691E-3</v>
      </c>
    </row>
    <row r="48" spans="1:12" x14ac:dyDescent="0.75">
      <c r="A48" s="1">
        <f>report!A48</f>
        <v>40178.041250000002</v>
      </c>
      <c r="B48" s="2">
        <f>IF(OR(report!B48="",report!B49=""),NA(),report!B48/report!B49-1)</f>
        <v>5.2407587548638057E-2</v>
      </c>
      <c r="C48" s="2">
        <f>IF(OR(report!D48="",report!D49=""),NA(),report!D48/report!D49-1)</f>
        <v>0.27293064876957507</v>
      </c>
      <c r="D48" s="2">
        <f>IF(OR(report!F48="",report!F49=""),NA(),report!F48/report!F49-1)</f>
        <v>-3.7837837837837784E-2</v>
      </c>
      <c r="E48" s="2">
        <f>IF(OR(report!H48="",report!H49=""),NA(),report!H48/report!H49-1)</f>
        <v>-1.5250540283194502E-2</v>
      </c>
      <c r="F48" s="2">
        <f>IF(OR(report!J48="",report!J49=""),NA(),report!J48/report!J49-1)</f>
        <v>0.11229946524064194</v>
      </c>
      <c r="G48" s="2">
        <f>IF(OR(report!L48="",report!L49=""),NA(),report!L48/report!L49-1)</f>
        <v>-0.10581395348837208</v>
      </c>
      <c r="H48" s="2">
        <f>IF(OR(report!N48="",report!N49=""),NA(),report!N48/report!N49-1)</f>
        <v>-7.8947368421052655E-2</v>
      </c>
      <c r="I48" s="2">
        <f>IF(OR(report!P48="",report!P49=""),NA(),report!P48/report!P49-1)</f>
        <v>-2.0449890813684091E-3</v>
      </c>
      <c r="J48" s="2">
        <f>IF(OR(report!R48="",report!R49=""),NA(),report!R48/report!R49-1)</f>
        <v>0.1524695184955569</v>
      </c>
      <c r="K48" s="2">
        <f>IF(OR(report!T48="",report!T49=""),NA(),report!T48/report!T49-1)</f>
        <v>1.2068965517241459E-2</v>
      </c>
      <c r="L48" s="2">
        <f>IF(OR(report!V48="",report!V49=""),NA(),report!V48/report!V49-1)</f>
        <v>8.2131395565609999E-3</v>
      </c>
    </row>
    <row r="49" spans="1:12" x14ac:dyDescent="0.75">
      <c r="A49" s="1">
        <f>report!A49</f>
        <v>40207.041250000002</v>
      </c>
      <c r="B49" s="2">
        <f>IF(OR(report!B49="",report!B50=""),NA(),report!B49/report!B50-1)</f>
        <v>-0.11797511797511795</v>
      </c>
      <c r="C49" s="2">
        <f>IF(OR(report!D49="",report!D50=""),NA(),report!D49/report!D50-1)</f>
        <v>-3.3444816053512794E-3</v>
      </c>
      <c r="D49" s="2">
        <f>IF(OR(report!F49="",report!F50=""),NA(),report!F49/report!F50-1)</f>
        <v>-7.4999999999999956E-2</v>
      </c>
      <c r="E49" s="2">
        <f>IF(OR(report!H49="",report!H50=""),NA(),report!H49/report!H50-1)</f>
        <v>-5.2088116190564082E-2</v>
      </c>
      <c r="F49" s="2">
        <f>IF(OR(report!J49="",report!J50=""),NA(),report!J49/report!J50-1)</f>
        <v>-9.9832565927166272E-2</v>
      </c>
      <c r="G49" s="2">
        <f>IF(OR(report!L49="",report!L50=""),NA(),report!L49/report!L50-1)</f>
        <v>2.3809523809523947E-2</v>
      </c>
      <c r="H49" s="2">
        <f>IF(OR(report!N49="",report!N50=""),NA(),report!N49/report!N50-1)</f>
        <v>8.2621082621082476E-2</v>
      </c>
      <c r="I49" s="2">
        <f>IF(OR(report!P49="",report!P50=""),NA(),report!P49/report!P50-1)</f>
        <v>-0.1338745276872646</v>
      </c>
      <c r="J49" s="2">
        <f>IF(OR(report!R49="",report!R50=""),NA(),report!R49/report!R50-1)</f>
        <v>-5.425477856389016E-2</v>
      </c>
      <c r="K49" s="2">
        <f>IF(OR(report!T49="",report!T50=""),NA(),report!T49/report!T50-1)</f>
        <v>-8.9195979899497457E-2</v>
      </c>
      <c r="L49" s="2">
        <f>IF(OR(report!V49="",report!V50=""),NA(),report!V49/report!V50-1)</f>
        <v>4.4400475420725005E-3</v>
      </c>
    </row>
    <row r="50" spans="1:12" x14ac:dyDescent="0.75">
      <c r="A50" s="1">
        <f>report!A50</f>
        <v>40235.041250000002</v>
      </c>
      <c r="B50" s="2">
        <f>IF(OR(report!B50="",report!B51=""),NA(),report!B50/report!B51-1)</f>
        <v>-0.1428571428571429</v>
      </c>
      <c r="C50" s="2">
        <f>IF(OR(report!D50="",report!D51=""),NA(),report!D50/report!D51-1)</f>
        <v>-3.6519871106337254E-2</v>
      </c>
      <c r="D50" s="2">
        <f>IF(OR(report!F50="",report!F51=""),NA(),report!F50/report!F51-1)</f>
        <v>3.6269430051813378E-2</v>
      </c>
      <c r="E50" s="2">
        <f>IF(OR(report!H50="",report!H51=""),NA(),report!H50/report!H51-1)</f>
        <v>-5.3020434659799442E-2</v>
      </c>
      <c r="F50" s="2">
        <f>IF(OR(report!J50="",report!J51=""),NA(),report!J50/report!J51-1)</f>
        <v>-0.12442734102986985</v>
      </c>
      <c r="G50" s="2">
        <f>IF(OR(report!L50="",report!L51=""),NA(),report!L50/report!L51-1)</f>
        <v>-9.8389982110912322E-2</v>
      </c>
      <c r="H50" s="2">
        <f>IF(OR(report!N50="",report!N51=""),NA(),report!N50/report!N51-1)</f>
        <v>2.5116822429906538E-2</v>
      </c>
      <c r="I50" s="2">
        <f>IF(OR(report!P50="",report!P51=""),NA(),report!P50/report!P51-1)</f>
        <v>-3.3661393868634426E-2</v>
      </c>
      <c r="J50" s="2">
        <f>IF(OR(report!R50="",report!R51=""),NA(),report!R50/report!R51-1)</f>
        <v>-1.8906273968399945E-2</v>
      </c>
      <c r="K50" s="2">
        <f>IF(OR(report!T50="",report!T51=""),NA(),report!T50/report!T51-1)</f>
        <v>8.8719898605831293E-3</v>
      </c>
      <c r="L50" s="2">
        <f>IF(OR(report!V50="",report!V51=""),NA(),report!V50/report!V51-1)</f>
        <v>2.0209010343876788E-3</v>
      </c>
    </row>
    <row r="51" spans="1:12" x14ac:dyDescent="0.75">
      <c r="A51" s="1">
        <f>report!A51</f>
        <v>40268.041250000002</v>
      </c>
      <c r="B51" s="2">
        <f>IF(OR(report!B51="",report!B52=""),NA(),report!B51/report!B52-1)</f>
        <v>0.10548780487804876</v>
      </c>
      <c r="C51" s="2">
        <f>IF(OR(report!D51="",report!D52=""),NA(),report!D51/report!D52-1)</f>
        <v>-0.13475836431226762</v>
      </c>
      <c r="D51" s="2">
        <f>IF(OR(report!F51="",report!F52=""),NA(),report!F51/report!F52-1)</f>
        <v>-0.29161314002569283</v>
      </c>
      <c r="E51" s="2">
        <f>IF(OR(report!H51="",report!H52=""),NA(),report!H51/report!H52-1)</f>
        <v>5.5746733542041627E-2</v>
      </c>
      <c r="F51" s="2">
        <f>IF(OR(report!J51="",report!J52=""),NA(),report!J51/report!J52-1)</f>
        <v>6.7488262910798236E-2</v>
      </c>
      <c r="G51" s="2">
        <f>IF(OR(report!L51="",report!L52=""),NA(),report!L51/report!L52-1)</f>
        <v>0.23345101500441312</v>
      </c>
      <c r="H51" s="2">
        <f>IF(OR(report!N51="",report!N52=""),NA(),report!N51/report!N52-1)</f>
        <v>-6.294471811713187E-2</v>
      </c>
      <c r="I51" s="2">
        <f>IF(OR(report!P51="",report!P52=""),NA(),report!P51/report!P52-1)</f>
        <v>-1.820475771789587E-2</v>
      </c>
      <c r="J51" s="2">
        <f>IF(OR(report!R51="",report!R52=""),NA(),report!R51/report!R52-1)</f>
        <v>4.5458047615378749E-3</v>
      </c>
      <c r="K51" s="2">
        <f>IF(OR(report!T51="",report!T52=""),NA(),report!T51/report!T52-1)</f>
        <v>0.10118632240055825</v>
      </c>
      <c r="L51" s="2">
        <f>IF(OR(report!V51="",report!V52=""),NA(),report!V51/report!V52-1)</f>
        <v>-1.2964299497286391E-2</v>
      </c>
    </row>
    <row r="52" spans="1:12" x14ac:dyDescent="0.75">
      <c r="A52" s="1">
        <f>report!A52</f>
        <v>40298.041250000002</v>
      </c>
      <c r="B52" s="2">
        <f>IF(OR(report!B52="",report!B53=""),NA(),report!B52/report!B53-1)</f>
        <v>7.0845576232451801E-2</v>
      </c>
      <c r="C52" s="2">
        <f>IF(OR(report!D52="",report!D53=""),NA(),report!D52/report!D53-1)</f>
        <v>8.434864104967188E-3</v>
      </c>
      <c r="D52" s="2">
        <f>IF(OR(report!F52="",report!F53=""),NA(),report!F52/report!F53-1)</f>
        <v>-4.4035087719298205E-2</v>
      </c>
      <c r="E52" s="2">
        <f>IF(OR(report!H52="",report!H53=""),NA(),report!H52/report!H53-1)</f>
        <v>-4.533508655826668E-2</v>
      </c>
      <c r="F52" s="2">
        <f>IF(OR(report!J52="",report!J53=""),NA(),report!J52/report!J53-1)</f>
        <v>1.2076816471985774E-2</v>
      </c>
      <c r="G52" s="2">
        <f>IF(OR(report!L52="",report!L53=""),NA(),report!L52/report!L53-1)</f>
        <v>0.15848670756646221</v>
      </c>
      <c r="H52" s="2">
        <f>IF(OR(report!N52="",report!N53=""),NA(),report!N52/report!N53-1)</f>
        <v>1.8962632459564865E-2</v>
      </c>
      <c r="I52" s="2">
        <f>IF(OR(report!P52="",report!P53=""),NA(),report!P52/report!P53-1)</f>
        <v>1.3195227928378017E-2</v>
      </c>
      <c r="J52" s="2">
        <f>IF(OR(report!R52="",report!R53=""),NA(),report!R52/report!R53-1)</f>
        <v>0.10122178856270136</v>
      </c>
      <c r="K52" s="2">
        <f>IF(OR(report!T52="",report!T53=""),NA(),report!T52/report!T53-1)</f>
        <v>-3.82342718109141E-3</v>
      </c>
      <c r="L52" s="2">
        <f>IF(OR(report!V52="",report!V53=""),NA(),report!V52/report!V53-1)</f>
        <v>-5.8376236795119052E-3</v>
      </c>
    </row>
    <row r="53" spans="1:12" x14ac:dyDescent="0.75">
      <c r="A53" s="1">
        <f>report!A53</f>
        <v>40329.041250000002</v>
      </c>
      <c r="B53" s="2">
        <f>IF(OR(report!B53="",report!B54=""),NA(),report!B53/report!B54-1)</f>
        <v>-3.2637075718011666E-4</v>
      </c>
      <c r="C53" s="2">
        <f>IF(OR(report!D53="",report!D54=""),NA(),report!D53/report!D54-1)</f>
        <v>0.11377870563674319</v>
      </c>
      <c r="D53" s="2">
        <f>IF(OR(report!F53="",report!F54=""),NA(),report!F53/report!F54-1)</f>
        <v>3.6363636363636376E-2</v>
      </c>
      <c r="E53" s="2">
        <f>IF(OR(report!H53="",report!H54=""),NA(),report!H53/report!H54-1)</f>
        <v>0.21597869145695214</v>
      </c>
      <c r="F53" s="2">
        <f>IF(OR(report!J53="",report!J54=""),NA(),report!J53/report!J54-1)</f>
        <v>7.3793378540087939E-3</v>
      </c>
      <c r="G53" s="2">
        <f>IF(OR(report!L53="",report!L54=""),NA(),report!L53/report!L54-1)</f>
        <v>-2.0040080160320772E-2</v>
      </c>
      <c r="H53" s="2">
        <f>IF(OR(report!N53="",report!N54=""),NA(),report!N53/report!N54-1)</f>
        <v>2.4571428571428466E-2</v>
      </c>
      <c r="I53" s="2">
        <f>IF(OR(report!P53="",report!P54=""),NA(),report!P53/report!P54-1)</f>
        <v>-5.6871398320199051E-2</v>
      </c>
      <c r="J53" s="2">
        <f>IF(OR(report!R53="",report!R54=""),NA(),report!R53/report!R54-1)</f>
        <v>-6.5122550963750303E-2</v>
      </c>
      <c r="K53" s="2">
        <f>IF(OR(report!T53="",report!T54=""),NA(),report!T53/report!T54-1)</f>
        <v>4.5391061452513259E-3</v>
      </c>
      <c r="L53" s="2">
        <f>IF(OR(report!V53="",report!V54=""),NA(),report!V53/report!V54-1)</f>
        <v>7.4668459628128847E-3</v>
      </c>
    </row>
    <row r="54" spans="1:12" x14ac:dyDescent="0.75">
      <c r="A54" s="1">
        <f>report!A54</f>
        <v>40359.041250000002</v>
      </c>
      <c r="B54" s="2">
        <f>IF(OR(report!B54="",report!B55=""),NA(),report!B54/report!B55-1)</f>
        <v>-3.6073825503355694E-2</v>
      </c>
      <c r="C54" s="2">
        <f>IF(OR(report!D54="",report!D55=""),NA(),report!D54/report!D55-1)</f>
        <v>5.0438596491228171E-2</v>
      </c>
      <c r="D54" s="2">
        <f>IF(OR(report!F54="",report!F55=""),NA(),report!F54/report!F55-1)</f>
        <v>0.10220440881763526</v>
      </c>
      <c r="E54" s="2">
        <f>IF(OR(report!H54="",report!H55=""),NA(),report!H54/report!H55-1)</f>
        <v>-8.4816000993281238E-2</v>
      </c>
      <c r="F54" s="2">
        <f>IF(OR(report!J54="",report!J55=""),NA(),report!J54/report!J55-1)</f>
        <v>1.1907164480323029E-2</v>
      </c>
      <c r="G54" s="2">
        <f>IF(OR(report!L54="",report!L55=""),NA(),report!L54/report!L55-1)</f>
        <v>5.4968287526427018E-2</v>
      </c>
      <c r="H54" s="2">
        <f>IF(OR(report!N54="",report!N55=""),NA(),report!N54/report!N55-1)</f>
        <v>-1.6853932584269704E-2</v>
      </c>
      <c r="I54" s="2">
        <f>IF(OR(report!P54="",report!P55=""),NA(),report!P54/report!P55-1)</f>
        <v>-6.5758223790555181E-2</v>
      </c>
      <c r="J54" s="2">
        <f>IF(OR(report!R54="",report!R55=""),NA(),report!R54/report!R55-1)</f>
        <v>-4.6801754120671446E-2</v>
      </c>
      <c r="K54" s="2">
        <f>IF(OR(report!T54="",report!T55=""),NA(),report!T54/report!T55-1)</f>
        <v>-2.5850340136054362E-2</v>
      </c>
      <c r="L54" s="2">
        <f>IF(OR(report!V54="",report!V55=""),NA(),report!V54/report!V55-1)</f>
        <v>-6.3104075146747096E-4</v>
      </c>
    </row>
    <row r="55" spans="1:12" x14ac:dyDescent="0.75">
      <c r="A55" s="1">
        <f>report!A55</f>
        <v>40389.041250000002</v>
      </c>
      <c r="B55" s="2">
        <f>IF(OR(report!B55="",report!B56=""),NA(),report!B55/report!B56-1)</f>
        <v>5.3003533568904526E-2</v>
      </c>
      <c r="C55" s="2">
        <f>IF(OR(report!D55="",report!D56=""),NA(),report!D55/report!D56-1)</f>
        <v>0.16773367477592815</v>
      </c>
      <c r="D55" s="2">
        <f>IF(OR(report!F55="",report!F56=""),NA(),report!F55/report!F56-1)</f>
        <v>2.9715229054890546E-2</v>
      </c>
      <c r="E55" s="2">
        <f>IF(OR(report!H55="",report!H56=""),NA(),report!H55/report!H56-1)</f>
        <v>0.11981442162215239</v>
      </c>
      <c r="F55" s="2">
        <f>IF(OR(report!J55="",report!J56=""),NA(),report!J55/report!J56-1)</f>
        <v>4.337755316908809E-2</v>
      </c>
      <c r="G55" s="2">
        <f>IF(OR(report!L55="",report!L56=""),NA(),report!L55/report!L56-1)</f>
        <v>7.62229806598409E-2</v>
      </c>
      <c r="H55" s="2">
        <f>IF(OR(report!N55="",report!N56=""),NA(),report!N55/report!N56-1)</f>
        <v>0</v>
      </c>
      <c r="I55" s="2">
        <f>IF(OR(report!P55="",report!P56=""),NA(),report!P55/report!P56-1)</f>
        <v>4.6989526266619341E-2</v>
      </c>
      <c r="J55" s="2">
        <f>IF(OR(report!R55="",report!R56=""),NA(),report!R55/report!R56-1)</f>
        <v>-5.0402067777139625E-2</v>
      </c>
      <c r="K55" s="2">
        <f>IF(OR(report!T55="",report!T56=""),NA(),report!T55/report!T56-1)</f>
        <v>-3.7275499830566883E-3</v>
      </c>
      <c r="L55" s="2">
        <f>IF(OR(report!V55="",report!V56=""),NA(),report!V55/report!V56-1)</f>
        <v>-5.8104360898584284E-3</v>
      </c>
    </row>
    <row r="56" spans="1:12" x14ac:dyDescent="0.75">
      <c r="A56" s="1">
        <f>report!A56</f>
        <v>40421.041250000002</v>
      </c>
      <c r="B56" s="2">
        <f>IF(OR(report!B56="",report!B57=""),NA(),report!B56/report!B57-1)</f>
        <v>-1.8638925010836527E-2</v>
      </c>
      <c r="C56" s="2">
        <f>IF(OR(report!D56="",report!D57=""),NA(),report!D56/report!D57-1)</f>
        <v>-4.6398046398046344E-2</v>
      </c>
      <c r="D56" s="2">
        <f>IF(OR(report!F56="",report!F57=""),NA(),report!F56/report!F57-1)</f>
        <v>-8.2474226804118977E-4</v>
      </c>
      <c r="E56" s="2">
        <f>IF(OR(report!H56="",report!H57=""),NA(),report!H56/report!H57-1)</f>
        <v>-0.15770113665655838</v>
      </c>
      <c r="F56" s="2">
        <f>IF(OR(report!J56="",report!J57=""),NA(),report!J56/report!J57-1)</f>
        <v>-4.6111926220917532E-3</v>
      </c>
      <c r="G56" s="2">
        <f>IF(OR(report!L56="",report!L57=""),NA(),report!L56/report!L57-1)</f>
        <v>-2.2790439132851614E-2</v>
      </c>
      <c r="H56" s="2">
        <f>IF(OR(report!N56="",report!N57=""),NA(),report!N56/report!N57-1)</f>
        <v>-3.7837837837837784E-2</v>
      </c>
      <c r="I56" s="2">
        <f>IF(OR(report!P56="",report!P57=""),NA(),report!P56/report!P57-1)</f>
        <v>-4.7856414219544785E-2</v>
      </c>
      <c r="J56" s="2">
        <f>IF(OR(report!R56="",report!R57=""),NA(),report!R56/report!R57-1)</f>
        <v>-9.4849715678310353E-2</v>
      </c>
      <c r="K56" s="2">
        <f>IF(OR(report!T56="",report!T57=""),NA(),report!T56/report!T57-1)</f>
        <v>-6.5547815072830806E-2</v>
      </c>
      <c r="L56" s="2">
        <f>IF(OR(report!V56="",report!V57=""),NA(),report!V56/report!V57-1)</f>
        <v>-4.8402842177068806E-3</v>
      </c>
    </row>
    <row r="57" spans="1:12" x14ac:dyDescent="0.75">
      <c r="A57" s="1">
        <f>report!A57</f>
        <v>40451.041250000002</v>
      </c>
      <c r="B57" s="2">
        <f>IF(OR(report!B57="",report!B58=""),NA(),report!B57/report!B58-1)</f>
        <v>-3.0672268907563027E-2</v>
      </c>
      <c r="C57" s="2">
        <f>IF(OR(report!D57="",report!D58=""),NA(),report!D57/report!D58-1)</f>
        <v>-3.6496350364965124E-3</v>
      </c>
      <c r="D57" s="2">
        <f>IF(OR(report!F57="",report!F58=""),NA(),report!F57/report!F58-1)</f>
        <v>-4.9019607843137303E-2</v>
      </c>
      <c r="E57" s="2">
        <f>IF(OR(report!H57="",report!H58=""),NA(),report!H57/report!H58-1)</f>
        <v>-5.3318839653872074E-2</v>
      </c>
      <c r="F57" s="2">
        <f>IF(OR(report!J57="",report!J58=""),NA(),report!J57/report!J58-1)</f>
        <v>-9.4171254983861807E-2</v>
      </c>
      <c r="G57" s="2">
        <f>IF(OR(report!L57="",report!L58=""),NA(),report!L57/report!L58-1)</f>
        <v>-0.25845012366034636</v>
      </c>
      <c r="H57" s="2">
        <f>IF(OR(report!N57="",report!N58=""),NA(),report!N57/report!N58-1)</f>
        <v>-3.1413612565445059E-2</v>
      </c>
      <c r="I57" s="2">
        <f>IF(OR(report!P57="",report!P58=""),NA(),report!P57/report!P58-1)</f>
        <v>3.5354855644370353E-2</v>
      </c>
      <c r="J57" s="2">
        <f>IF(OR(report!R57="",report!R58=""),NA(),report!R57/report!R58-1)</f>
        <v>-0.12038757252693855</v>
      </c>
      <c r="K57" s="2">
        <f>IF(OR(report!T57="",report!T58=""),NA(),report!T57/report!T58-1)</f>
        <v>-6.5127294256956847E-2</v>
      </c>
      <c r="L57" s="2">
        <f>IF(OR(report!V57="",report!V58=""),NA(),report!V57/report!V58-1)</f>
        <v>1.098668551599058E-2</v>
      </c>
    </row>
    <row r="58" spans="1:12" x14ac:dyDescent="0.75">
      <c r="A58" s="1">
        <f>report!A58</f>
        <v>40480.041250000002</v>
      </c>
      <c r="B58" s="2">
        <f>IF(OR(report!B58="",report!B59=""),NA(),report!B58/report!B59-1)</f>
        <v>-6.3360881542699699E-2</v>
      </c>
      <c r="C58" s="2">
        <f>IF(OR(report!D58="",report!D59=""),NA(),report!D58/report!D59-1)</f>
        <v>-4.418604651162783E-2</v>
      </c>
      <c r="D58" s="2">
        <f>IF(OR(report!F58="",report!F59=""),NA(),report!F58/report!F59-1)</f>
        <v>0.13207547169811318</v>
      </c>
      <c r="E58" s="2">
        <f>IF(OR(report!H58="",report!H59=""),NA(),report!H58/report!H59-1)</f>
        <v>-3.8099219510423055E-2</v>
      </c>
      <c r="F58" s="2">
        <f>IF(OR(report!J58="",report!J59=""),NA(),report!J58/report!J59-1)</f>
        <v>-2.0821714073247732E-2</v>
      </c>
      <c r="G58" s="2">
        <f>IF(OR(report!L58="",report!L59=""),NA(),report!L58/report!L59-1)</f>
        <v>5.1582141309059359E-2</v>
      </c>
      <c r="H58" s="2">
        <f>IF(OR(report!N58="",report!N59=""),NA(),report!N58/report!N59-1)</f>
        <v>-8.6561453849832604E-2</v>
      </c>
      <c r="I58" s="2">
        <f>IF(OR(report!P58="",report!P59=""),NA(),report!P58/report!P59-1)</f>
        <v>1.3204306749932782E-2</v>
      </c>
      <c r="J58" s="2">
        <f>IF(OR(report!R58="",report!R59=""),NA(),report!R58/report!R59-1)</f>
        <v>-0.10539773453680734</v>
      </c>
      <c r="K58" s="2">
        <f>IF(OR(report!T58="",report!T59=""),NA(),report!T58/report!T59-1)</f>
        <v>-3.8154897494305118E-2</v>
      </c>
      <c r="L58" s="2">
        <f>IF(OR(report!V58="",report!V59=""),NA(),report!V58/report!V59-1)</f>
        <v>-4.6703375564425276E-3</v>
      </c>
    </row>
    <row r="59" spans="1:12" x14ac:dyDescent="0.75">
      <c r="A59" s="1">
        <f>report!A59</f>
        <v>40512.041250000002</v>
      </c>
      <c r="B59" s="2">
        <f>IF(OR(report!B59="",report!B60=""),NA(),report!B59/report!B60-1)</f>
        <v>-3.594802238452055E-2</v>
      </c>
      <c r="C59" s="2">
        <f>IF(OR(report!D59="",report!D60=""),NA(),report!D59/report!D60-1)</f>
        <v>-0.14085914085914086</v>
      </c>
      <c r="D59" s="2">
        <f>IF(OR(report!F59="",report!F60=""),NA(),report!F59/report!F60-1)</f>
        <v>-9.8459075445267219E-2</v>
      </c>
      <c r="E59" s="2">
        <f>IF(OR(report!H59="",report!H60=""),NA(),report!H59/report!H60-1)</f>
        <v>-5.124130783952674E-2</v>
      </c>
      <c r="F59" s="2">
        <f>IF(OR(report!J59="",report!J60=""),NA(),report!J59/report!J60-1)</f>
        <v>-8.6136595310907227E-2</v>
      </c>
      <c r="G59" s="2">
        <f>IF(OR(report!L59="",report!L60=""),NA(),report!L59/report!L60-1)</f>
        <v>-6.031882809134026E-3</v>
      </c>
      <c r="H59" s="2">
        <f>IF(OR(report!N59="",report!N60=""),NA(),report!N59/report!N60-1)</f>
        <v>-5.5128784455490187E-2</v>
      </c>
      <c r="I59" s="2">
        <f>IF(OR(report!P59="",report!P60=""),NA(),report!P59/report!P60-1)</f>
        <v>1.0035678811667559E-2</v>
      </c>
      <c r="J59" s="2">
        <f>IF(OR(report!R59="",report!R60=""),NA(),report!R59/report!R60-1)</f>
        <v>-0.13118141022792906</v>
      </c>
      <c r="K59" s="2">
        <f>IF(OR(report!T59="",report!T60=""),NA(),report!T59/report!T60-1)</f>
        <v>-9.0293453724604733E-3</v>
      </c>
      <c r="L59" s="2">
        <f>IF(OR(report!V59="",report!V60=""),NA(),report!V59/report!V60-1)</f>
        <v>3.8054541630423433E-3</v>
      </c>
    </row>
    <row r="60" spans="1:12" x14ac:dyDescent="0.75">
      <c r="A60" s="1">
        <f>report!A60</f>
        <v>40543.041250000002</v>
      </c>
      <c r="B60" s="2">
        <f>IF(OR(report!B60="",report!B61=""),NA(),report!B60/report!B61-1)</f>
        <v>2.9288294444986818E-2</v>
      </c>
      <c r="C60" s="2">
        <f>IF(OR(report!D60="",report!D61=""),NA(),report!D60/report!D61-1)</f>
        <v>0.14925373134328335</v>
      </c>
      <c r="D60" s="2">
        <f>IF(OR(report!F60="",report!F61=""),NA(),report!F60/report!F61-1)</f>
        <v>4.0040040040034697E-4</v>
      </c>
      <c r="E60" s="2">
        <f>IF(OR(report!H60="",report!H61=""),NA(),report!H60/report!H61-1)</f>
        <v>6.3582585682677273E-2</v>
      </c>
      <c r="F60" s="2">
        <f>IF(OR(report!J60="",report!J61=""),NA(),report!J60/report!J61-1)</f>
        <v>9.0403853278992363E-2</v>
      </c>
      <c r="G60" s="2">
        <f>IF(OR(report!L60="",report!L61=""),NA(),report!L60/report!L61-1)</f>
        <v>-0.11883067577828399</v>
      </c>
      <c r="H60" s="2">
        <f>IF(OR(report!N60="",report!N61=""),NA(),report!N60/report!N61-1)</f>
        <v>-2.7039206849933661E-3</v>
      </c>
      <c r="I60" s="2">
        <f>IF(OR(report!P60="",report!P61=""),NA(),report!P60/report!P61-1)</f>
        <v>0.13012980062681145</v>
      </c>
      <c r="J60" s="2">
        <f>IF(OR(report!R60="",report!R61=""),NA(),report!R60/report!R61-1)</f>
        <v>0.11927791729865467</v>
      </c>
      <c r="K60" s="2">
        <f>IF(OR(report!T60="",report!T61=""),NA(),report!T60/report!T61-1)</f>
        <v>5.1632047477744747E-2</v>
      </c>
      <c r="L60" s="2">
        <f>IF(OR(report!V60="",report!V61=""),NA(),report!V60/report!V61-1)</f>
        <v>2.6161070038643652E-2</v>
      </c>
    </row>
    <row r="61" spans="1:12" x14ac:dyDescent="0.75">
      <c r="A61" s="1">
        <f>report!A61</f>
        <v>40574.041250000002</v>
      </c>
      <c r="B61" s="2">
        <f>IF(OR(report!B61="",report!B62=""),NA(),report!B61/report!B62-1)</f>
        <v>8.7251884088737963E-2</v>
      </c>
      <c r="C61" s="2">
        <f>IF(OR(report!D61="",report!D62=""),NA(),report!D61/report!D62-1)</f>
        <v>5.3204353083434297E-2</v>
      </c>
      <c r="D61" s="2">
        <f>IF(OR(report!F61="",report!F62=""),NA(),report!F61/report!F62-1)</f>
        <v>-2.9908720139832923E-2</v>
      </c>
      <c r="E61" s="2">
        <f>IF(OR(report!H61="",report!H62=""),NA(),report!H61/report!H62-1)</f>
        <v>2.8906770714265395E-2</v>
      </c>
      <c r="F61" s="2">
        <f>IF(OR(report!J61="",report!J62=""),NA(),report!J61/report!J62-1)</f>
        <v>-1.7831149927219903E-2</v>
      </c>
      <c r="G61" s="2">
        <f>IF(OR(report!L61="",report!L62=""),NA(),report!L61/report!L62-1)</f>
        <v>6.8993506493506551E-2</v>
      </c>
      <c r="H61" s="2">
        <f>IF(OR(report!N61="",report!N62=""),NA(),report!N61/report!N62-1)</f>
        <v>-5.5342699020859865E-2</v>
      </c>
      <c r="I61" s="2">
        <f>IF(OR(report!P61="",report!P62=""),NA(),report!P61/report!P62-1)</f>
        <v>-4.8828954775163247E-2</v>
      </c>
      <c r="J61" s="2">
        <f>IF(OR(report!R61="",report!R62=""),NA(),report!R61/report!R62-1)</f>
        <v>-4.4545281763755606E-2</v>
      </c>
      <c r="K61" s="2">
        <f>IF(OR(report!T61="",report!T62=""),NA(),report!T61/report!T62-1)</f>
        <v>-2.657423454650476E-2</v>
      </c>
      <c r="L61" s="2">
        <f>IF(OR(report!V61="",report!V62=""),NA(),report!V61/report!V62-1)</f>
        <v>3.1294371655254949E-3</v>
      </c>
    </row>
    <row r="62" spans="1:12" x14ac:dyDescent="0.75">
      <c r="A62" s="1">
        <f>report!A62</f>
        <v>40602.041250000002</v>
      </c>
      <c r="B62" s="2">
        <f>IF(OR(report!B62="",report!B63=""),NA(),report!B62/report!B63-1)</f>
        <v>-5.9780439121756568E-2</v>
      </c>
      <c r="C62" s="2">
        <f>IF(OR(report!D62="",report!D63=""),NA(),report!D62/report!D63-1)</f>
        <v>-1.5476190476190532E-2</v>
      </c>
      <c r="D62" s="2">
        <f>IF(OR(report!F62="",report!F63=""),NA(),report!F62/report!F63-1)</f>
        <v>1.9603960396039621E-2</v>
      </c>
      <c r="E62" s="2">
        <f>IF(OR(report!H62="",report!H63=""),NA(),report!H62/report!H63-1)</f>
        <v>-9.0172052834134542E-2</v>
      </c>
      <c r="F62" s="2">
        <f>IF(OR(report!J62="",report!J63=""),NA(),report!J62/report!J63-1)</f>
        <v>-1.8220793140407254E-2</v>
      </c>
      <c r="G62" s="2">
        <f>IF(OR(report!L62="",report!L63=""),NA(),report!L62/report!L63-1)</f>
        <v>-1.2820512820512886E-2</v>
      </c>
      <c r="H62" s="2">
        <f>IF(OR(report!N62="",report!N63=""),NA(),report!N62/report!N63-1)</f>
        <v>-1.6331658291457329E-2</v>
      </c>
      <c r="I62" s="2">
        <f>IF(OR(report!P62="",report!P63=""),NA(),report!P62/report!P63-1)</f>
        <v>-4.4097663790435226E-2</v>
      </c>
      <c r="J62" s="2">
        <f>IF(OR(report!R62="",report!R63=""),NA(),report!R62/report!R63-1)</f>
        <v>-3.9434048379735187E-2</v>
      </c>
      <c r="K62" s="2">
        <f>IF(OR(report!T62="",report!T63=""),NA(),report!T62/report!T63-1)</f>
        <v>-2.8346898680887023E-2</v>
      </c>
      <c r="L62" s="2">
        <f>IF(OR(report!V62="",report!V63=""),NA(),report!V62/report!V63-1)</f>
        <v>-1.1049836119232714E-2</v>
      </c>
    </row>
    <row r="63" spans="1:12" x14ac:dyDescent="0.75">
      <c r="A63" s="1">
        <f>report!A63</f>
        <v>40633.041250000002</v>
      </c>
      <c r="B63" s="2">
        <f>IF(OR(report!B63="",report!B64=""),NA(),report!B63/report!B64-1)</f>
        <v>-1.3779527559054983E-2</v>
      </c>
      <c r="C63" s="2">
        <f>IF(OR(report!D63="",report!D64=""),NA(),report!D63/report!D64-1)</f>
        <v>6.4638783269961975E-2</v>
      </c>
      <c r="D63" s="2">
        <f>IF(OR(report!F63="",report!F64=""),NA(),report!F63/report!F64-1)</f>
        <v>-9.8039215686274161E-3</v>
      </c>
      <c r="E63" s="2">
        <f>IF(OR(report!H63="",report!H64=""),NA(),report!H63/report!H64-1)</f>
        <v>5.6182137683842504E-2</v>
      </c>
      <c r="F63" s="2">
        <f>IF(OR(report!J63="",report!J64=""),NA(),report!J63/report!J64-1)</f>
        <v>-3.4328100741763068E-2</v>
      </c>
      <c r="G63" s="2">
        <f>IF(OR(report!L63="",report!L64=""),NA(),report!L63/report!L64-1)</f>
        <v>8.2863340563991361E-2</v>
      </c>
      <c r="H63" s="2">
        <f>IF(OR(report!N63="",report!N64=""),NA(),report!N63/report!N64-1)</f>
        <v>-4.6706586826347318E-2</v>
      </c>
      <c r="I63" s="2">
        <f>IF(OR(report!P63="",report!P64=""),NA(),report!P63/report!P64-1)</f>
        <v>3.4676372486482254E-2</v>
      </c>
      <c r="J63" s="2">
        <f>IF(OR(report!R63="",report!R64=""),NA(),report!R63/report!R64-1)</f>
        <v>-2.2442332574844959E-2</v>
      </c>
      <c r="K63" s="2">
        <f>IF(OR(report!T63="",report!T64=""),NA(),report!T63/report!T64-1)</f>
        <v>-1.1924570160843029E-2</v>
      </c>
      <c r="L63" s="2">
        <f>IF(OR(report!V63="",report!V64=""),NA(),report!V63/report!V64-1)</f>
        <v>1.1386186656983099E-3</v>
      </c>
    </row>
    <row r="64" spans="1:12" x14ac:dyDescent="0.75">
      <c r="A64" s="1">
        <f>report!A64</f>
        <v>40662.041250000002</v>
      </c>
      <c r="B64" s="2">
        <f>IF(OR(report!B64="",report!B65=""),NA(),report!B64/report!B65-1)</f>
        <v>-5.646359583952465E-2</v>
      </c>
      <c r="C64" s="2">
        <f>IF(OR(report!D64="",report!D65=""),NA(),report!D64/report!D65-1)</f>
        <v>0</v>
      </c>
      <c r="D64" s="2">
        <f>IF(OR(report!F64="",report!F65=""),NA(),report!F64/report!F65-1)</f>
        <v>-6.1292103810049681E-2</v>
      </c>
      <c r="E64" s="2">
        <f>IF(OR(report!H64="",report!H65=""),NA(),report!H64/report!H65-1)</f>
        <v>1.2690357527253671E-2</v>
      </c>
      <c r="F64" s="2">
        <f>IF(OR(report!J64="",report!J65=""),NA(),report!J64/report!J65-1)</f>
        <v>7.4712643678160884E-2</v>
      </c>
      <c r="G64" s="2">
        <f>IF(OR(report!L64="",report!L65=""),NA(),report!L64/report!L65-1)</f>
        <v>0.10657705232837267</v>
      </c>
      <c r="H64" s="2">
        <f>IF(OR(report!N64="",report!N65=""),NA(),report!N64/report!N65-1)</f>
        <v>4.0080160320641323E-3</v>
      </c>
      <c r="I64" s="2">
        <f>IF(OR(report!P64="",report!P65=""),NA(),report!P64/report!P65-1)</f>
        <v>4.8579453011527107E-2</v>
      </c>
      <c r="J64" s="2">
        <f>IF(OR(report!R64="",report!R65=""),NA(),report!R64/report!R65-1)</f>
        <v>-5.0605939539219991E-3</v>
      </c>
      <c r="K64" s="2">
        <f>IF(OR(report!T64="",report!T65=""),NA(),report!T64/report!T65-1)</f>
        <v>2.4431818181818166E-2</v>
      </c>
      <c r="L64" s="2">
        <f>IF(OR(report!V64="",report!V65=""),NA(),report!V64/report!V65-1)</f>
        <v>4.1337845540567741E-3</v>
      </c>
    </row>
    <row r="65" spans="1:12" x14ac:dyDescent="0.75">
      <c r="A65" s="1">
        <f>report!A65</f>
        <v>40694.041250000002</v>
      </c>
      <c r="B65" s="2">
        <f>IF(OR(report!B65="",report!B66=""),NA(),report!B65/report!B66-1)</f>
        <v>-7.7405086619977137E-3</v>
      </c>
      <c r="C65" s="2">
        <f>IF(OR(report!D65="",report!D66=""),NA(),report!D65/report!D66-1)</f>
        <v>-7.5471698113208641E-3</v>
      </c>
      <c r="D65" s="2">
        <f>IF(OR(report!F65="",report!F66=""),NA(),report!F65/report!F66-1)</f>
        <v>-6.2952742324939637E-2</v>
      </c>
      <c r="E65" s="2">
        <f>IF(OR(report!H65="",report!H66=""),NA(),report!H65/report!H66-1)</f>
        <v>-1.6434387294360531E-2</v>
      </c>
      <c r="F65" s="2">
        <f>IF(OR(report!J65="",report!J66=""),NA(),report!J65/report!J66-1)</f>
        <v>1.2007504690431547E-2</v>
      </c>
      <c r="G65" s="2">
        <f>IF(OR(report!L65="",report!L66=""),NA(),report!L65/report!L66-1)</f>
        <v>-0.14209225700164752</v>
      </c>
      <c r="H65" s="2">
        <f>IF(OR(report!N65="",report!N66=""),NA(),report!N65/report!N66-1)</f>
        <v>-8.7405641636870701E-3</v>
      </c>
      <c r="I65" s="2">
        <f>IF(OR(report!P65="",report!P66=""),NA(),report!P65/report!P66-1)</f>
        <v>-0.11825027628458562</v>
      </c>
      <c r="J65" s="2">
        <f>IF(OR(report!R65="",report!R66=""),NA(),report!R65/report!R66-1)</f>
        <v>2.084560656183454E-2</v>
      </c>
      <c r="K65" s="2">
        <f>IF(OR(report!T65="",report!T66=""),NA(),report!T65/report!T66-1)</f>
        <v>1.4701643124819919E-2</v>
      </c>
      <c r="L65" s="2">
        <f>IF(OR(report!V65="",report!V66=""),NA(),report!V65/report!V66-1)</f>
        <v>-7.8001385077297591E-3</v>
      </c>
    </row>
    <row r="66" spans="1:12" x14ac:dyDescent="0.75">
      <c r="A66" s="1">
        <f>report!A66</f>
        <v>40724.041250000002</v>
      </c>
      <c r="B66" s="2">
        <f>IF(OR(report!B66="",report!B67=""),NA(),report!B66/report!B67-1)</f>
        <v>-3.9305949008498597E-2</v>
      </c>
      <c r="C66" s="2">
        <f>IF(OR(report!D66="",report!D67=""),NA(),report!D66/report!D67-1)</f>
        <v>0.21745788667687593</v>
      </c>
      <c r="D66" s="2">
        <f>IF(OR(report!F66="",report!F67=""),NA(),report!F66/report!F67-1)</f>
        <v>0.11499999999999999</v>
      </c>
      <c r="E66" s="2">
        <f>IF(OR(report!H66="",report!H67=""),NA(),report!H66/report!H67-1)</f>
        <v>-6.2369464384837148E-4</v>
      </c>
      <c r="F66" s="2">
        <f>IF(OR(report!J66="",report!J67=""),NA(),report!J66/report!J67-1)</f>
        <v>3.9188925716513889E-2</v>
      </c>
      <c r="G66" s="2">
        <f>IF(OR(report!L66="",report!L67=""),NA(),report!L66/report!L67-1)</f>
        <v>-1.9386106623586419E-2</v>
      </c>
      <c r="H66" s="2">
        <f>IF(OR(report!N66="",report!N67=""),NA(),report!N66/report!N67-1)</f>
        <v>-1.1904761904760752E-3</v>
      </c>
      <c r="I66" s="2">
        <f>IF(OR(report!P66="",report!P67=""),NA(),report!P66/report!P67-1)</f>
        <v>4.9591294348610759E-2</v>
      </c>
      <c r="J66" s="2">
        <f>IF(OR(report!R66="",report!R67=""),NA(),report!R66/report!R67-1)</f>
        <v>-0.12811394930757225</v>
      </c>
      <c r="K66" s="2">
        <f>IF(OR(report!T66="",report!T67=""),NA(),report!T66/report!T67-1)</f>
        <v>7.1340333539221534E-2</v>
      </c>
      <c r="L66" s="2">
        <f>IF(OR(report!V66="",report!V67=""),NA(),report!V66/report!V67-1)</f>
        <v>4.2685876253325539E-3</v>
      </c>
    </row>
    <row r="67" spans="1:12" x14ac:dyDescent="0.75">
      <c r="A67" s="1">
        <f>report!A67</f>
        <v>40753.041250000002</v>
      </c>
      <c r="B67" s="2">
        <f>IF(OR(report!B67="",report!B68=""),NA(),report!B67/report!B68-1)</f>
        <v>0.16839056681836984</v>
      </c>
      <c r="C67" s="2">
        <f>IF(OR(report!D67="",report!D68=""),NA(),report!D67/report!D68-1)</f>
        <v>0.2414448669201521</v>
      </c>
      <c r="D67" s="2">
        <f>IF(OR(report!F67="",report!F68=""),NA(),report!F67/report!F68-1)</f>
        <v>3.9792041591681704E-2</v>
      </c>
      <c r="E67" s="2">
        <f>IF(OR(report!H67="",report!H68=""),NA(),report!H67/report!H68-1)</f>
        <v>4.5948333826075771E-3</v>
      </c>
      <c r="F67" s="2">
        <f>IF(OR(report!J67="",report!J68=""),NA(),report!J67/report!J68-1)</f>
        <v>2.2120366679952097E-2</v>
      </c>
      <c r="G67" s="2">
        <f>IF(OR(report!L67="",report!L68=""),NA(),report!L67/report!L68-1)</f>
        <v>2.4410426148117503E-2</v>
      </c>
      <c r="H67" s="2">
        <f>IF(OR(report!N67="",report!N68=""),NA(),report!N67/report!N68-1)</f>
        <v>3.661044837515437E-2</v>
      </c>
      <c r="I67" s="2">
        <f>IF(OR(report!P67="",report!P68=""),NA(),report!P67/report!P68-1)</f>
        <v>-8.1081054424906318E-3</v>
      </c>
      <c r="J67" s="2">
        <f>IF(OR(report!R67="",report!R68=""),NA(),report!R67/report!R68-1)</f>
        <v>-0.14132315521628502</v>
      </c>
      <c r="K67" s="2">
        <f>IF(OR(report!T67="",report!T68=""),NA(),report!T67/report!T68-1)</f>
        <v>-1.1901129081477002E-2</v>
      </c>
      <c r="L67" s="2">
        <f>IF(OR(report!V67="",report!V68=""),NA(),report!V67/report!V68-1)</f>
        <v>-1.3821414384004638E-2</v>
      </c>
    </row>
    <row r="68" spans="1:12" x14ac:dyDescent="0.75">
      <c r="A68" s="1">
        <f>report!A68</f>
        <v>40786.041250000002</v>
      </c>
      <c r="B68" s="2">
        <f>IF(OR(report!B68="",report!B69=""),NA(),report!B68/report!B69-1)</f>
        <v>-8.4122773777946191E-2</v>
      </c>
      <c r="C68" s="2">
        <f>IF(OR(report!D68="",report!D69=""),NA(),report!D68/report!D69-1)</f>
        <v>0.49857549857549865</v>
      </c>
      <c r="D68" s="2">
        <f>IF(OR(report!F68="",report!F69=""),NA(),report!F68/report!F69-1)</f>
        <v>-2.8932038834951546E-2</v>
      </c>
      <c r="E68" s="2">
        <f>IF(OR(report!H68="",report!H69=""),NA(),report!H68/report!H69-1)</f>
        <v>3.2341519213143766E-2</v>
      </c>
      <c r="F68" s="2">
        <f>IF(OR(report!J68="",report!J69=""),NA(),report!J68/report!J69-1)</f>
        <v>0.21914480077745391</v>
      </c>
      <c r="G68" s="2">
        <f>IF(OR(report!L68="",report!L69=""),NA(),report!L68/report!L69-1)</f>
        <v>-8.6136177194420238E-3</v>
      </c>
      <c r="H68" s="2">
        <f>IF(OR(report!N68="",report!N69=""),NA(),report!N68/report!N69-1)</f>
        <v>-5.3191489361703592E-3</v>
      </c>
      <c r="I68" s="2">
        <f>IF(OR(report!P68="",report!P69=""),NA(),report!P68/report!P69-1)</f>
        <v>3.7868149771889348E-2</v>
      </c>
      <c r="J68" s="2">
        <f>IF(OR(report!R68="",report!R69=""),NA(),report!R68/report!R69-1)</f>
        <v>0.15247013743621829</v>
      </c>
      <c r="K68" s="2">
        <f>IF(OR(report!T68="",report!T69=""),NA(),report!T68/report!T69-1)</f>
        <v>2.5344180225281621E-2</v>
      </c>
      <c r="L68" s="2">
        <f>IF(OR(report!V68="",report!V69=""),NA(),report!V68/report!V69-1)</f>
        <v>-1.4501973495213316E-2</v>
      </c>
    </row>
    <row r="69" spans="1:12" x14ac:dyDescent="0.75">
      <c r="A69" s="1">
        <f>report!A69</f>
        <v>40816.041250000002</v>
      </c>
      <c r="B69" s="2">
        <f>IF(OR(report!B69="",report!B70=""),NA(),report!B69/report!B70-1)</f>
        <v>-3.7212696096315168E-2</v>
      </c>
      <c r="C69" s="2">
        <f>IF(OR(report!D69="",report!D70=""),NA(),report!D69/report!D70-1)</f>
        <v>-0.23362445414847166</v>
      </c>
      <c r="D69" s="2">
        <f>IF(OR(report!F69="",report!F70=""),NA(),report!F69/report!F70-1)</f>
        <v>-6.3466084742680562E-2</v>
      </c>
      <c r="E69" s="2">
        <f>IF(OR(report!H69="",report!H70=""),NA(),report!H69/report!H70-1)</f>
        <v>-4.7210433019581055E-3</v>
      </c>
      <c r="F69" s="2">
        <f>IF(OR(report!J69="",report!J70=""),NA(),report!J69/report!J70-1)</f>
        <v>-9.5583388266315183E-2</v>
      </c>
      <c r="G69" s="2">
        <f>IF(OR(report!L69="",report!L70=""),NA(),report!L69/report!L70-1)</f>
        <v>-6.4107485604606551E-2</v>
      </c>
      <c r="H69" s="2">
        <f>IF(OR(report!N69="",report!N70=""),NA(),report!N69/report!N70-1)</f>
        <v>-1.22599100939913E-3</v>
      </c>
      <c r="I69" s="2">
        <f>IF(OR(report!P69="",report!P70=""),NA(),report!P69/report!P70-1)</f>
        <v>-5.9614871927998303E-2</v>
      </c>
      <c r="J69" s="2">
        <f>IF(OR(report!R69="",report!R70=""),NA(),report!R69/report!R70-1)</f>
        <v>-4.5708102460774946E-2</v>
      </c>
      <c r="K69" s="2">
        <f>IF(OR(report!T69="",report!T70=""),NA(),report!T69/report!T70-1)</f>
        <v>-7.120023249055496E-2</v>
      </c>
      <c r="L69" s="2">
        <f>IF(OR(report!V69="",report!V70=""),NA(),report!V69/report!V70-1)</f>
        <v>1.2967053188180699E-2</v>
      </c>
    </row>
    <row r="70" spans="1:12" x14ac:dyDescent="0.75">
      <c r="A70" s="1">
        <f>report!A70</f>
        <v>40847.041250000002</v>
      </c>
      <c r="B70" s="2">
        <f>IF(OR(report!B70="",report!B71=""),NA(),report!B70/report!B71-1)</f>
        <v>-2.4902170046246841E-2</v>
      </c>
      <c r="C70" s="2">
        <f>IF(OR(report!D70="",report!D71=""),NA(),report!D70/report!D71-1)</f>
        <v>-8.582834331337319E-2</v>
      </c>
      <c r="D70" s="2">
        <f>IF(OR(report!F70="",report!F71=""),NA(),report!F70/report!F71-1)</f>
        <v>-1.8035714285714266E-2</v>
      </c>
      <c r="E70" s="2">
        <f>IF(OR(report!H70="",report!H71=""),NA(),report!H70/report!H71-1)</f>
        <v>-1.4590806472075113E-2</v>
      </c>
      <c r="F70" s="2">
        <f>IF(OR(report!J70="",report!J71=""),NA(),report!J70/report!J71-1)</f>
        <v>-3.0464422667234814E-2</v>
      </c>
      <c r="G70" s="2">
        <f>IF(OR(report!L70="",report!L71=""),NA(),report!L70/report!L71-1)</f>
        <v>-7.0306923625981455E-2</v>
      </c>
      <c r="H70" s="2">
        <f>IF(OR(report!N70="",report!N71=""),NA(),report!N70/report!N71-1)</f>
        <v>-1.2111425111021479E-2</v>
      </c>
      <c r="I70" s="2">
        <f>IF(OR(report!P70="",report!P71=""),NA(),report!P70/report!P71-1)</f>
        <v>5.0138502576838162E-2</v>
      </c>
      <c r="J70" s="2">
        <f>IF(OR(report!R70="",report!R71=""),NA(),report!R70/report!R71-1)</f>
        <v>-0.13676259803842616</v>
      </c>
      <c r="K70" s="2">
        <f>IF(OR(report!T70="",report!T71=""),NA(),report!T70/report!T71-1)</f>
        <v>-6.747967479674799E-2</v>
      </c>
      <c r="L70" s="2">
        <f>IF(OR(report!V70="",report!V71=""),NA(),report!V70/report!V71-1)</f>
        <v>1.1604926711266117E-3</v>
      </c>
    </row>
    <row r="71" spans="1:12" x14ac:dyDescent="0.75">
      <c r="A71" s="1">
        <f>report!A71</f>
        <v>40877.041250000002</v>
      </c>
      <c r="B71" s="2">
        <f>IF(OR(report!B71="",report!B72=""),NA(),report!B71/report!B72-1)</f>
        <v>-1.2644889357218081E-2</v>
      </c>
      <c r="C71" s="2">
        <f>IF(OR(report!D71="",report!D72=""),NA(),report!D71/report!D72-1)</f>
        <v>-0.14940577249575548</v>
      </c>
      <c r="D71" s="2">
        <f>IF(OR(report!F71="",report!F72=""),NA(),report!F71/report!F72-1)</f>
        <v>-3.4482758620689613E-2</v>
      </c>
      <c r="E71" s="2">
        <f>IF(OR(report!H71="",report!H72=""),NA(),report!H71/report!H72-1)</f>
        <v>1.2703668122266976E-3</v>
      </c>
      <c r="F71" s="2">
        <f>IF(OR(report!J71="",report!J72=""),NA(),report!J71/report!J72-1)</f>
        <v>0.10916824196597341</v>
      </c>
      <c r="G71" s="2">
        <f>IF(OR(report!L71="",report!L72=""),NA(),report!L71/report!L72-1)</f>
        <v>6.1363636363636509E-2</v>
      </c>
      <c r="H71" s="2">
        <f>IF(OR(report!N71="",report!N72=""),NA(),report!N71/report!N72-1)</f>
        <v>-4.8212133386902334E-3</v>
      </c>
      <c r="I71" s="2">
        <f>IF(OR(report!P71="",report!P72=""),NA(),report!P71/report!P72-1)</f>
        <v>-4.0659077776172614E-2</v>
      </c>
      <c r="J71" s="2">
        <f>IF(OR(report!R71="",report!R72=""),NA(),report!R71/report!R72-1)</f>
        <v>1.5437701352434052E-2</v>
      </c>
      <c r="K71" s="2">
        <f>IF(OR(report!T71="",report!T72=""),NA(),report!T71/report!T72-1)</f>
        <v>-3.4789432382945296E-2</v>
      </c>
      <c r="L71" s="2">
        <f>IF(OR(report!V71="",report!V72=""),NA(),report!V71/report!V72-1)</f>
        <v>1.4785492929979549E-2</v>
      </c>
    </row>
    <row r="72" spans="1:12" x14ac:dyDescent="0.75">
      <c r="A72" s="1">
        <f>report!A72</f>
        <v>40907.041250000002</v>
      </c>
      <c r="B72" s="2">
        <f>IF(OR(report!B72="",report!B73=""),NA(),report!B72/report!B73-1)</f>
        <v>-1.8275862068965587E-2</v>
      </c>
      <c r="C72" s="2">
        <f>IF(OR(report!D72="",report!D73=""),NA(),report!D72/report!D73-1)</f>
        <v>-0.1561604584527222</v>
      </c>
      <c r="D72" s="2">
        <f>IF(OR(report!F72="",report!F73=""),NA(),report!F72/report!F73-1)</f>
        <v>-9.375E-2</v>
      </c>
      <c r="E72" s="2">
        <f>IF(OR(report!H72="",report!H73=""),NA(),report!H72/report!H73-1)</f>
        <v>-3.3162736479919852E-2</v>
      </c>
      <c r="F72" s="2">
        <f>IF(OR(report!J72="",report!J73=""),NA(),report!J72/report!J73-1)</f>
        <v>-0.18521370812475935</v>
      </c>
      <c r="G72" s="2">
        <f>IF(OR(report!L72="",report!L73=""),NA(),report!L72/report!L73-1)</f>
        <v>-8.4604715672676911E-2</v>
      </c>
      <c r="H72" s="2">
        <f>IF(OR(report!N72="",report!N73=""),NA(),report!N72/report!N73-1)</f>
        <v>-2.5450274079874657E-2</v>
      </c>
      <c r="I72" s="2">
        <f>IF(OR(report!P72="",report!P73=""),NA(),report!P72/report!P73-1)</f>
        <v>1.7852351679299217E-2</v>
      </c>
      <c r="J72" s="2">
        <f>IF(OR(report!R72="",report!R73=""),NA(),report!R72/report!R73-1)</f>
        <v>-1.9403774916211036E-2</v>
      </c>
      <c r="K72" s="2">
        <f>IF(OR(report!T72="",report!T73=""),NA(),report!T72/report!T73-1)</f>
        <v>-5.0658058107772685E-2</v>
      </c>
      <c r="L72" s="2">
        <f>IF(OR(report!V72="",report!V73=""),NA(),report!V72/report!V73-1)</f>
        <v>-8.7169085996311457E-3</v>
      </c>
    </row>
    <row r="73" spans="1:12" x14ac:dyDescent="0.75">
      <c r="A73" s="1">
        <f>report!A73</f>
        <v>40939.041250000002</v>
      </c>
      <c r="B73" s="2">
        <f>IF(OR(report!B73="",report!B74=""),NA(),report!B73/report!B74-1)</f>
        <v>1.3812154696133394E-3</v>
      </c>
      <c r="C73" s="2">
        <f>IF(OR(report!D73="",report!D74=""),NA(),report!D73/report!D74-1)</f>
        <v>-0.10051546391752564</v>
      </c>
      <c r="D73" s="2">
        <f>IF(OR(report!F73="",report!F74=""),NA(),report!F73/report!F74-1)</f>
        <v>-4.491866885539475E-2</v>
      </c>
      <c r="E73" s="2">
        <f>IF(OR(report!H73="",report!H74=""),NA(),report!H73/report!H74-1)</f>
        <v>1.6649326356514393E-2</v>
      </c>
      <c r="F73" s="2">
        <f>IF(OR(report!J73="",report!J74=""),NA(),report!J73/report!J74-1)</f>
        <v>-1.1419870574800206E-2</v>
      </c>
      <c r="G73" s="2">
        <f>IF(OR(report!L73="",report!L74=""),NA(),report!L73/report!L74-1)</f>
        <v>-8.2113303628262302E-2</v>
      </c>
      <c r="H73" s="2">
        <f>IF(OR(report!N73="",report!N74=""),NA(),report!N73/report!N74-1)</f>
        <v>-2.7418126428027545E-2</v>
      </c>
      <c r="I73" s="2">
        <f>IF(OR(report!P73="",report!P74=""),NA(),report!P73/report!P74-1)</f>
        <v>4.067555045220006E-2</v>
      </c>
      <c r="J73" s="2">
        <f>IF(OR(report!R73="",report!R74=""),NA(),report!R73/report!R74-1)</f>
        <v>-2.1681492289107429E-2</v>
      </c>
      <c r="K73" s="2">
        <f>IF(OR(report!T73="",report!T74=""),NA(),report!T73/report!T74-1)</f>
        <v>4.9912652857500017E-3</v>
      </c>
      <c r="L73" s="2">
        <f>IF(OR(report!V73="",report!V74=""),NA(),report!V73/report!V74-1)</f>
        <v>-3.3123645500907628E-3</v>
      </c>
    </row>
    <row r="74" spans="1:12" x14ac:dyDescent="0.75">
      <c r="A74" s="1">
        <f>report!A74</f>
        <v>40968.041250000002</v>
      </c>
      <c r="B74" s="2">
        <f>IF(OR(report!B74="",report!B75=""),NA(),report!B74/report!B75-1)</f>
        <v>-2.9490616621983934E-2</v>
      </c>
      <c r="C74" s="2">
        <f>IF(OR(report!D74="",report!D75=""),NA(),report!D74/report!D75-1)</f>
        <v>-4.1975308641975295E-2</v>
      </c>
      <c r="D74" s="2">
        <f>IF(OR(report!F74="",report!F75=""),NA(),report!F74/report!F75-1)</f>
        <v>-5.6197183098591452E-2</v>
      </c>
      <c r="E74" s="2">
        <f>IF(OR(report!H74="",report!H75=""),NA(),report!H74/report!H75-1)</f>
        <v>1.6285965010484516E-2</v>
      </c>
      <c r="F74" s="2">
        <f>IF(OR(report!J74="",report!J75=""),NA(),report!J74/report!J75-1)</f>
        <v>-7.7922077922077837E-2</v>
      </c>
      <c r="G74" s="2">
        <f>IF(OR(report!L74="",report!L75=""),NA(),report!L74/report!L75-1)</f>
        <v>-8.6362314626344805E-2</v>
      </c>
      <c r="H74" s="2">
        <f>IF(OR(report!N74="",report!N75=""),NA(),report!N74/report!N75-1)</f>
        <v>-8.6825217063041249E-3</v>
      </c>
      <c r="I74" s="2">
        <f>IF(OR(report!P74="",report!P75=""),NA(),report!P74/report!P75-1)</f>
        <v>-0.16637333633514273</v>
      </c>
      <c r="J74" s="2">
        <f>IF(OR(report!R74="",report!R75=""),NA(),report!R74/report!R75-1)</f>
        <v>2.7401234667397301E-2</v>
      </c>
      <c r="K74" s="2">
        <f>IF(OR(report!T74="",report!T75=""),NA(),report!T74/report!T75-1)</f>
        <v>-6.9437993497445505E-2</v>
      </c>
      <c r="L74" s="2">
        <f>IF(OR(report!V74="",report!V75=""),NA(),report!V74/report!V75-1)</f>
        <v>5.993262108168862E-3</v>
      </c>
    </row>
    <row r="75" spans="1:12" x14ac:dyDescent="0.75">
      <c r="A75" s="1">
        <f>report!A75</f>
        <v>40998.041250000002</v>
      </c>
      <c r="B75" s="2">
        <f>IF(OR(report!B75="",report!B76=""),NA(),report!B75/report!B76-1)</f>
        <v>-3.8659793814432963E-2</v>
      </c>
      <c r="C75" s="2">
        <f>IF(OR(report!D75="",report!D76=""),NA(),report!D75/report!D76-1)</f>
        <v>4.7865459249676556E-2</v>
      </c>
      <c r="D75" s="2">
        <f>IF(OR(report!F75="",report!F76=""),NA(),report!F75/report!F76-1)</f>
        <v>-0.10126582278481011</v>
      </c>
      <c r="E75" s="2">
        <f>IF(OR(report!H75="",report!H76=""),NA(),report!H75/report!H76-1)</f>
        <v>-6.4688432366122983E-2</v>
      </c>
      <c r="F75" s="2">
        <f>IF(OR(report!J75="",report!J76=""),NA(),report!J75/report!J76-1)</f>
        <v>-9.7131991760418313E-2</v>
      </c>
      <c r="G75" s="2">
        <f>IF(OR(report!L75="",report!L76=""),NA(),report!L75/report!L76-1)</f>
        <v>-4.7368421052631615E-2</v>
      </c>
      <c r="H75" s="2">
        <f>IF(OR(report!N75="",report!N76=""),NA(),report!N75/report!N76-1)</f>
        <v>-8.1484049930651947E-2</v>
      </c>
      <c r="I75" s="2">
        <f>IF(OR(report!P75="",report!P76=""),NA(),report!P75/report!P76-1)</f>
        <v>6.9653632892634709E-2</v>
      </c>
      <c r="J75" s="2">
        <f>IF(OR(report!R75="",report!R76=""),NA(),report!R75/report!R76-1)</f>
        <v>1.8718904451486829E-2</v>
      </c>
      <c r="K75" s="2">
        <f>IF(OR(report!T75="",report!T76=""),NA(),report!T75/report!T76-1)</f>
        <v>0.1559731543624161</v>
      </c>
      <c r="L75" s="2">
        <f>IF(OR(report!V75="",report!V76=""),NA(),report!V75/report!V76-1)</f>
        <v>-1.1555270358781566E-2</v>
      </c>
    </row>
    <row r="76" spans="1:12" x14ac:dyDescent="0.75">
      <c r="A76" s="1">
        <f>report!A76</f>
        <v>41029.041250000002</v>
      </c>
      <c r="B76" s="2">
        <f>IF(OR(report!B76="",report!B77=""),NA(),report!B76/report!B77-1)</f>
        <v>-3.2113037893385377E-3</v>
      </c>
      <c r="C76" s="2">
        <f>IF(OR(report!D76="",report!D77=""),NA(),report!D76/report!D77-1)</f>
        <v>0.17298937784522006</v>
      </c>
      <c r="D76" s="2">
        <f>IF(OR(report!F76="",report!F77=""),NA(),report!F76/report!F77-1)</f>
        <v>0</v>
      </c>
      <c r="E76" s="2">
        <f>IF(OR(report!H76="",report!H77=""),NA(),report!H76/report!H77-1)</f>
        <v>-4.3332798690394192E-3</v>
      </c>
      <c r="F76" s="2">
        <f>IF(OR(report!J76="",report!J77=""),NA(),report!J76/report!J77-1)</f>
        <v>-1.5905192577576721E-2</v>
      </c>
      <c r="G76" s="2">
        <f>IF(OR(report!L76="",report!L77=""),NA(),report!L76/report!L77-1)</f>
        <v>0.15041427660930529</v>
      </c>
      <c r="H76" s="2">
        <f>IF(OR(report!N76="",report!N77=""),NA(),report!N76/report!N77-1)</f>
        <v>8.3916083916082407E-3</v>
      </c>
      <c r="I76" s="2">
        <f>IF(OR(report!P76="",report!P77=""),NA(),report!P76/report!P77-1)</f>
        <v>6.282510781152606E-2</v>
      </c>
      <c r="J76" s="2">
        <f>IF(OR(report!R76="",report!R77=""),NA(),report!R76/report!R77-1)</f>
        <v>0.11086587746019005</v>
      </c>
      <c r="K76" s="2">
        <f>IF(OR(report!T76="",report!T77=""),NA(),report!T76/report!T77-1)</f>
        <v>7.4415921546005181E-2</v>
      </c>
      <c r="L76" s="2">
        <f>IF(OR(report!V76="",report!V77=""),NA(),report!V76/report!V77-1)</f>
        <v>-1.4888668720648646E-2</v>
      </c>
    </row>
    <row r="77" spans="1:12" x14ac:dyDescent="0.75">
      <c r="A77" s="1">
        <f>report!A77</f>
        <v>41060.041250000002</v>
      </c>
      <c r="B77" s="2">
        <f>IF(OR(report!B77="",report!B78=""),NA(),report!B77/report!B78-1)</f>
        <v>-4.9160305343511457E-2</v>
      </c>
      <c r="C77" s="2">
        <f>IF(OR(report!D77="",report!D78=""),NA(),report!D77/report!D78-1)</f>
        <v>-0.10583446404341934</v>
      </c>
      <c r="D77" s="2">
        <f>IF(OR(report!F77="",report!F78=""),NA(),report!F77/report!F78-1)</f>
        <v>1.2171684817424699E-2</v>
      </c>
      <c r="E77" s="2">
        <f>IF(OR(report!H77="",report!H78=""),NA(),report!H77/report!H78-1)</f>
        <v>-3.8264817952173957E-2</v>
      </c>
      <c r="F77" s="2">
        <f>IF(OR(report!J77="",report!J78=""),NA(),report!J77/report!J78-1)</f>
        <v>-7.2595806218366032E-2</v>
      </c>
      <c r="G77" s="2">
        <f>IF(OR(report!L77="",report!L78=""),NA(),report!L77/report!L78-1)</f>
        <v>-4.1539401343921867E-2</v>
      </c>
      <c r="H77" s="2">
        <f>IF(OR(report!N77="",report!N78=""),NA(),report!N77/report!N78-1)</f>
        <v>-6.7492663840886813E-2</v>
      </c>
      <c r="I77" s="2">
        <f>IF(OR(report!P77="",report!P78=""),NA(),report!P77/report!P78-1)</f>
        <v>-4.6547103709094984E-2</v>
      </c>
      <c r="J77" s="2">
        <f>IF(OR(report!R77="",report!R78=""),NA(),report!R77/report!R78-1)</f>
        <v>-4.567688478075449E-2</v>
      </c>
      <c r="K77" s="2">
        <f>IF(OR(report!T77="",report!T78=""),NA(),report!T77/report!T78-1)</f>
        <v>-3.0209790209790199E-2</v>
      </c>
      <c r="L77" s="2">
        <f>IF(OR(report!V77="",report!V78=""),NA(),report!V77/report!V78-1)</f>
        <v>-8.8017077091706586E-3</v>
      </c>
    </row>
    <row r="78" spans="1:12" x14ac:dyDescent="0.75">
      <c r="A78" s="1">
        <f>report!A78</f>
        <v>41089.041250000002</v>
      </c>
      <c r="B78" s="2">
        <f>IF(OR(report!B78="",report!B79=""),NA(),report!B78/report!B79-1)</f>
        <v>-1.1171497584540946E-2</v>
      </c>
      <c r="C78" s="2">
        <f>IF(OR(report!D78="",report!D79=""),NA(),report!D78/report!D79-1)</f>
        <v>-3.4076015727391828E-2</v>
      </c>
      <c r="D78" s="2">
        <f>IF(OR(report!F78="",report!F79=""),NA(),report!F78/report!F79-1)</f>
        <v>4.0666666666666629E-2</v>
      </c>
      <c r="E78" s="2">
        <f>IF(OR(report!H78="",report!H79=""),NA(),report!H78/report!H79-1)</f>
        <v>9.7551604339669584E-3</v>
      </c>
      <c r="F78" s="2">
        <f>IF(OR(report!J78="",report!J79=""),NA(),report!J78/report!J79-1)</f>
        <v>-2.8928521275101593E-2</v>
      </c>
      <c r="G78" s="2">
        <f>IF(OR(report!L78="",report!L79=""),NA(),report!L78/report!L79-1)</f>
        <v>-5.9195402298850452E-2</v>
      </c>
      <c r="H78" s="2">
        <f>IF(OR(report!N78="",report!N79=""),NA(),report!N78/report!N79-1)</f>
        <v>-5.4853620955315874E-2</v>
      </c>
      <c r="I78" s="2">
        <f>IF(OR(report!P78="",report!P79=""),NA(),report!P78/report!P79-1)</f>
        <v>-5.7194263906643616E-2</v>
      </c>
      <c r="J78" s="2">
        <f>IF(OR(report!R78="",report!R79=""),NA(),report!R78/report!R79-1)</f>
        <v>4.8283790441780328E-2</v>
      </c>
      <c r="K78" s="2">
        <f>IF(OR(report!T78="",report!T79=""),NA(),report!T78/report!T79-1)</f>
        <v>-5.0968940801699003E-2</v>
      </c>
      <c r="L78" s="2">
        <f>IF(OR(report!V78="",report!V79=""),NA(),report!V78/report!V79-1)</f>
        <v>7.3619529857629207E-3</v>
      </c>
    </row>
    <row r="79" spans="1:12" x14ac:dyDescent="0.75">
      <c r="A79" s="1">
        <f>report!A79</f>
        <v>41121.041250000002</v>
      </c>
      <c r="B79" s="2">
        <f>IF(OR(report!B79="",report!B80=""),NA(),report!B79/report!B80-1)</f>
        <v>0.15400696864111496</v>
      </c>
      <c r="C79" s="2">
        <f>IF(OR(report!D79="",report!D80=""),NA(),report!D79/report!D80-1)</f>
        <v>-4.7440699126092389E-2</v>
      </c>
      <c r="D79" s="2">
        <f>IF(OR(report!F79="",report!F80=""),NA(),report!F79/report!F80-1)</f>
        <v>-1.3157894736842146E-2</v>
      </c>
      <c r="E79" s="2">
        <f>IF(OR(report!H79="",report!H80=""),NA(),report!H79/report!H80-1)</f>
        <v>4.4188456708240675E-3</v>
      </c>
      <c r="F79" s="2">
        <f>IF(OR(report!J79="",report!J80=""),NA(),report!J79/report!J80-1)</f>
        <v>5.856994202467658E-2</v>
      </c>
      <c r="G79" s="2">
        <f>IF(OR(report!L79="",report!L80=""),NA(),report!L79/report!L80-1)</f>
        <v>-3.037057676232946E-2</v>
      </c>
      <c r="H79" s="2">
        <f>IF(OR(report!N79="",report!N80=""),NA(),report!N79/report!N80-1)</f>
        <v>3.5087719298245723E-2</v>
      </c>
      <c r="I79" s="2">
        <f>IF(OR(report!P79="",report!P80=""),NA(),report!P79/report!P80-1)</f>
        <v>4.3134813278008277E-2</v>
      </c>
      <c r="J79" s="2">
        <f>IF(OR(report!R79="",report!R80=""),NA(),report!R79/report!R80-1)</f>
        <v>1.7339001615089167E-2</v>
      </c>
      <c r="K79" s="2">
        <f>IF(OR(report!T79="",report!T80=""),NA(),report!T79/report!T80-1)</f>
        <v>7.0474566638249581E-2</v>
      </c>
      <c r="L79" s="2">
        <f>IF(OR(report!V79="",report!V80=""),NA(),report!V79/report!V80-1)</f>
        <v>1.9225946172922725E-3</v>
      </c>
    </row>
    <row r="80" spans="1:12" x14ac:dyDescent="0.75">
      <c r="A80" s="1">
        <f>report!A80</f>
        <v>41152.041250000002</v>
      </c>
      <c r="B80" s="2">
        <f>IF(OR(report!B80="",report!B81=""),NA(),report!B80/report!B81-1)</f>
        <v>-0.10424469413233461</v>
      </c>
      <c r="C80" s="2">
        <f>IF(OR(report!D80="",report!D81=""),NA(),report!D80/report!D81-1)</f>
        <v>-8.9772727272727337E-2</v>
      </c>
      <c r="D80" s="2">
        <f>IF(OR(report!F80="",report!F81=""),NA(),report!F80/report!F81-1)</f>
        <v>-5.5900621118012417E-2</v>
      </c>
      <c r="E80" s="2">
        <f>IF(OR(report!H80="",report!H81=""),NA(),report!H80/report!H81-1)</f>
        <v>-6.9502080240847919E-2</v>
      </c>
      <c r="F80" s="2">
        <f>IF(OR(report!J80="",report!J81=""),NA(),report!J80/report!J81-1)</f>
        <v>-7.5453545904343167E-2</v>
      </c>
      <c r="G80" s="2">
        <f>IF(OR(report!L80="",report!L81=""),NA(),report!L80/report!L81-1)</f>
        <v>-1.4552443712246066E-2</v>
      </c>
      <c r="H80" s="2">
        <f>IF(OR(report!N80="",report!N81=""),NA(),report!N80/report!N81-1)</f>
        <v>-5.3442028985507095E-2</v>
      </c>
      <c r="I80" s="2">
        <f>IF(OR(report!P80="",report!P81=""),NA(),report!P80/report!P81-1)</f>
        <v>-0.13331908044794805</v>
      </c>
      <c r="J80" s="2">
        <f>IF(OR(report!R80="",report!R81=""),NA(),report!R80/report!R81-1)</f>
        <v>-0.15046997224325021</v>
      </c>
      <c r="K80" s="2">
        <f>IF(OR(report!T80="",report!T81=""),NA(),report!T80/report!T81-1)</f>
        <v>-2.8169014084507116E-2</v>
      </c>
      <c r="L80" s="2">
        <f>IF(OR(report!V80="",report!V81=""),NA(),report!V80/report!V81-1)</f>
        <v>9.9090297580506359E-3</v>
      </c>
    </row>
    <row r="81" spans="1:12" x14ac:dyDescent="0.75">
      <c r="A81" s="1">
        <f>report!A81</f>
        <v>41180.041250000002</v>
      </c>
      <c r="B81" s="2">
        <f>IF(OR(report!B81="",report!B82=""),NA(),report!B81/report!B82-1)</f>
        <v>5.0491803278688518E-2</v>
      </c>
      <c r="C81" s="2">
        <f>IF(OR(report!D81="",report!D82=""),NA(),report!D81/report!D82-1)</f>
        <v>-9.8360655737704805E-2</v>
      </c>
      <c r="D81" s="2">
        <f>IF(OR(report!F81="",report!F82=""),NA(),report!F81/report!F82-1)</f>
        <v>-0.10555555555555551</v>
      </c>
      <c r="E81" s="2">
        <f>IF(OR(report!H81="",report!H82=""),NA(),report!H81/report!H82-1)</f>
        <v>-0.13518252022542121</v>
      </c>
      <c r="F81" s="2">
        <f>IF(OR(report!J81="",report!J82=""),NA(),report!J81/report!J82-1)</f>
        <v>1.3745704467371667E-4</v>
      </c>
      <c r="G81" s="2">
        <f>IF(OR(report!L81="",report!L82=""),NA(),report!L81/report!L82-1)</f>
        <v>-4.684637529442548E-2</v>
      </c>
      <c r="H81" s="2">
        <f>IF(OR(report!N81="",report!N82=""),NA(),report!N81/report!N82-1)</f>
        <v>-6.6253171694389712E-2</v>
      </c>
      <c r="I81" s="2">
        <f>IF(OR(report!P81="",report!P82=""),NA(),report!P81/report!P82-1)</f>
        <v>-2.190520576855437E-2</v>
      </c>
      <c r="J81" s="2">
        <f>IF(OR(report!R81="",report!R82=""),NA(),report!R81/report!R82-1)</f>
        <v>-2.8006438261669375E-2</v>
      </c>
      <c r="K81" s="2">
        <f>IF(OR(report!T81="",report!T82=""),NA(),report!T81/report!T82-1)</f>
        <v>-6.3615205585725421E-2</v>
      </c>
      <c r="L81" s="2">
        <f>IF(OR(report!V81="",report!V82=""),NA(),report!V81/report!V82-1)</f>
        <v>-3.8055282606119789E-3</v>
      </c>
    </row>
    <row r="82" spans="1:12" x14ac:dyDescent="0.75">
      <c r="A82" s="1">
        <f>report!A82</f>
        <v>41213.041250000002</v>
      </c>
      <c r="B82" s="2">
        <f>IF(OR(report!B82="",report!B83=""),NA(),report!B82/report!B83-1)</f>
        <v>0</v>
      </c>
      <c r="C82" s="2">
        <f>IF(OR(report!D82="",report!D83=""),NA(),report!D82/report!D83-1)</f>
        <v>3.0623020063357931E-2</v>
      </c>
      <c r="D82" s="2">
        <f>IF(OR(report!F82="",report!F83=""),NA(),report!F82/report!F83-1)</f>
        <v>-2.9858790557292236E-2</v>
      </c>
      <c r="E82" s="2">
        <f>IF(OR(report!H82="",report!H83=""),NA(),report!H82/report!H83-1)</f>
        <v>-5.37034310892327E-2</v>
      </c>
      <c r="F82" s="2">
        <f>IF(OR(report!J82="",report!J83=""),NA(),report!J82/report!J83-1)</f>
        <v>-1.8483540205072924E-2</v>
      </c>
      <c r="G82" s="2">
        <f>IF(OR(report!L82="",report!L83=""),NA(),report!L82/report!L83-1)</f>
        <v>4.6276013143482952E-2</v>
      </c>
      <c r="H82" s="2">
        <f>IF(OR(report!N82="",report!N83=""),NA(),report!N82/report!N83-1)</f>
        <v>-1.581576026637066E-2</v>
      </c>
      <c r="I82" s="2">
        <f>IF(OR(report!P82="",report!P83=""),NA(),report!P82/report!P83-1)</f>
        <v>3.1483969455736727E-3</v>
      </c>
      <c r="J82" s="2">
        <f>IF(OR(report!R82="",report!R83=""),NA(),report!R82/report!R83-1)</f>
        <v>9.6265457415691813E-3</v>
      </c>
      <c r="K82" s="2">
        <f>IF(OR(report!T82="",report!T83=""),NA(),report!T82/report!T83-1)</f>
        <v>-4.6832634951934904E-2</v>
      </c>
      <c r="L82" s="2">
        <f>IF(OR(report!V82="",report!V83=""),NA(),report!V82/report!V83-1)</f>
        <v>-1.5585428297519965E-2</v>
      </c>
    </row>
    <row r="83" spans="1:12" x14ac:dyDescent="0.75">
      <c r="A83" s="1">
        <f>report!A83</f>
        <v>41243.041250000002</v>
      </c>
      <c r="B83" s="2">
        <f>IF(OR(report!B83="",report!B84=""),NA(),report!B83/report!B84-1)</f>
        <v>-8.8736181655213575E-2</v>
      </c>
      <c r="C83" s="2">
        <f>IF(OR(report!D83="",report!D84=""),NA(),report!D83/report!D84-1)</f>
        <v>-9.2911877394635911E-2</v>
      </c>
      <c r="D83" s="2">
        <f>IF(OR(report!F83="",report!F84=""),NA(),report!F83/report!F84-1)</f>
        <v>-4.3608247422680435E-2</v>
      </c>
      <c r="E83" s="2">
        <f>IF(OR(report!H83="",report!H84=""),NA(),report!H83/report!H84-1)</f>
        <v>-9.895336941842936E-2</v>
      </c>
      <c r="F83" s="2">
        <f>IF(OR(report!J83="",report!J84=""),NA(),report!J83/report!J84-1)</f>
        <v>-0.11180347513481126</v>
      </c>
      <c r="G83" s="2">
        <f>IF(OR(report!L83="",report!L84=""),NA(),report!L83/report!L84-1)</f>
        <v>-6.7653816696451319E-2</v>
      </c>
      <c r="H83" s="2">
        <f>IF(OR(report!N83="",report!N84=""),NA(),report!N83/report!N84-1)</f>
        <v>-9.2191435768262053E-2</v>
      </c>
      <c r="I83" s="2">
        <f>IF(OR(report!P83="",report!P84=""),NA(),report!P83/report!P84-1)</f>
        <v>-4.9150468946616899E-2</v>
      </c>
      <c r="J83" s="2">
        <f>IF(OR(report!R83="",report!R84=""),NA(),report!R83/report!R84-1)</f>
        <v>-7.3740647995943487E-3</v>
      </c>
      <c r="K83" s="2">
        <f>IF(OR(report!T83="",report!T84=""),NA(),report!T83/report!T84-1)</f>
        <v>-4.1578077013938008E-2</v>
      </c>
      <c r="L83" s="2">
        <f>IF(OR(report!V83="",report!V84=""),NA(),report!V83/report!V84-1)</f>
        <v>4.5233239385131796E-3</v>
      </c>
    </row>
    <row r="84" spans="1:12" x14ac:dyDescent="0.75">
      <c r="A84" s="1">
        <f>report!A84</f>
        <v>41274.041250000002</v>
      </c>
      <c r="B84" s="2">
        <f>IF(OR(report!B84="",report!B85=""),NA(),report!B84/report!B85-1)</f>
        <v>1.7944038929440298E-2</v>
      </c>
      <c r="C84" s="2">
        <f>IF(OR(report!D84="",report!D85=""),NA(),report!D84/report!D85-1)</f>
        <v>-8.4210526315789513E-2</v>
      </c>
      <c r="D84" s="2">
        <f>IF(OR(report!F84="",report!F85=""),NA(),report!F84/report!F85-1)</f>
        <v>3.7433155080213831E-2</v>
      </c>
      <c r="E84" s="2">
        <f>IF(OR(report!H84="",report!H85=""),NA(),report!H84/report!H85-1)</f>
        <v>-7.1320382120875436E-2</v>
      </c>
      <c r="F84" s="2">
        <f>IF(OR(report!J84="",report!J85=""),NA(),report!J84/report!J85-1)</f>
        <v>-4.8135051899167336E-2</v>
      </c>
      <c r="G84" s="2">
        <f>IF(OR(report!L84="",report!L85=""),NA(),report!L84/report!L85-1)</f>
        <v>-7.7484691474328793E-2</v>
      </c>
      <c r="H84" s="2">
        <f>IF(OR(report!N84="",report!N85=""),NA(),report!N84/report!N85-1)</f>
        <v>-1.1946241911398592E-2</v>
      </c>
      <c r="I84" s="2">
        <f>IF(OR(report!P84="",report!P85=""),NA(),report!P84/report!P85-1)</f>
        <v>-7.3897167938601016E-2</v>
      </c>
      <c r="J84" s="2">
        <f>IF(OR(report!R84="",report!R85=""),NA(),report!R84/report!R85-1)</f>
        <v>4.228847755075904E-2</v>
      </c>
      <c r="K84" s="2">
        <f>IF(OR(report!T84="",report!T85=""),NA(),report!T84/report!T85-1)</f>
        <v>2.6928675400291091E-2</v>
      </c>
      <c r="L84" s="2">
        <f>IF(OR(report!V84="",report!V85=""),NA(),report!V84/report!V85-1)</f>
        <v>-4.4655269560524014E-3</v>
      </c>
    </row>
    <row r="85" spans="1:12" x14ac:dyDescent="0.75">
      <c r="A85" s="1">
        <f>report!A85</f>
        <v>41305.041250000002</v>
      </c>
      <c r="B85" s="2">
        <f>IF(OR(report!B85="",report!B86=""),NA(),report!B85/report!B86-1)</f>
        <v>-5.1629650995096643E-2</v>
      </c>
      <c r="C85" s="2">
        <f>IF(OR(report!D85="",report!D86=""),NA(),report!D85/report!D86-1)</f>
        <v>1.0638297872340496E-2</v>
      </c>
      <c r="D85" s="2">
        <f>IF(OR(report!F85="",report!F86=""),NA(),report!F85/report!F86-1)</f>
        <v>2.1857923497267784E-2</v>
      </c>
      <c r="E85" s="2">
        <f>IF(OR(report!H85="",report!H86=""),NA(),report!H85/report!H86-1)</f>
        <v>3.4198874067441487E-3</v>
      </c>
      <c r="F85" s="2">
        <f>IF(OR(report!J85="",report!J86=""),NA(),report!J85/report!J86-1)</f>
        <v>-7.5601012231126141E-2</v>
      </c>
      <c r="G85" s="2">
        <f>IF(OR(report!L85="",report!L86=""),NA(),report!L85/report!L86-1)</f>
        <v>-5.623471882640585E-2</v>
      </c>
      <c r="H85" s="2">
        <f>IF(OR(report!N85="",report!N86=""),NA(),report!N85/report!N86-1)</f>
        <v>3.9586028460543377E-2</v>
      </c>
      <c r="I85" s="2">
        <f>IF(OR(report!P85="",report!P86=""),NA(),report!P85/report!P86-1)</f>
        <v>-0.12014834324923729</v>
      </c>
      <c r="J85" s="2">
        <f>IF(OR(report!R85="",report!R86=""),NA(),report!R85/report!R86-1)</f>
        <v>5.920862943301497E-2</v>
      </c>
      <c r="K85" s="2">
        <f>IF(OR(report!T85="",report!T86=""),NA(),report!T85/report!T86-1)</f>
        <v>2.7161724395713849E-2</v>
      </c>
      <c r="L85" s="2">
        <f>IF(OR(report!V85="",report!V86=""),NA(),report!V85/report!V86-1)</f>
        <v>4.4713781754195381E-3</v>
      </c>
    </row>
    <row r="86" spans="1:12" x14ac:dyDescent="0.75">
      <c r="A86" s="1">
        <f>report!A86</f>
        <v>41333.041250000002</v>
      </c>
      <c r="B86" s="2">
        <f>IF(OR(report!B86="",report!B87=""),NA(),report!B86/report!B87-1)</f>
        <v>-0.12205621676373768</v>
      </c>
      <c r="C86" s="2">
        <f>IF(OR(report!D86="",report!D87=""),NA(),report!D86/report!D87-1)</f>
        <v>-8.663967611336032E-2</v>
      </c>
      <c r="D86" s="2">
        <f>IF(OR(report!F86="",report!F87=""),NA(),report!F86/report!F87-1)</f>
        <v>1.0930156301247607E-4</v>
      </c>
      <c r="E86" s="2">
        <f>IF(OR(report!H86="",report!H87=""),NA(),report!H86/report!H87-1)</f>
        <v>8.4180177702706915E-2</v>
      </c>
      <c r="F86" s="2">
        <f>IF(OR(report!J86="",report!J87=""),NA(),report!J86/report!J87-1)</f>
        <v>-3.8913660316173493E-2</v>
      </c>
      <c r="G86" s="2">
        <f>IF(OR(report!L86="",report!L87=""),NA(),report!L86/report!L87-1)</f>
        <v>-0.17615821278154176</v>
      </c>
      <c r="H86" s="2">
        <f>IF(OR(report!N86="",report!N87=""),NA(),report!N86/report!N87-1)</f>
        <v>-0.14867841409691629</v>
      </c>
      <c r="I86" s="2">
        <f>IF(OR(report!P86="",report!P87=""),NA(),report!P86/report!P87-1)</f>
        <v>-6.1702624694342401E-2</v>
      </c>
      <c r="J86" s="2">
        <f>IF(OR(report!R86="",report!R87=""),NA(),report!R86/report!R87-1)</f>
        <v>5.4397871832476685E-3</v>
      </c>
      <c r="K86" s="2">
        <f>IF(OR(report!T86="",report!T87=""),NA(),report!T86/report!T87-1)</f>
        <v>-6.6831683168315781E-3</v>
      </c>
      <c r="L86" s="2">
        <f>IF(OR(report!V86="",report!V87=""),NA(),report!V86/report!V87-1)</f>
        <v>-1.9080124210056448E-2</v>
      </c>
    </row>
    <row r="87" spans="1:12" x14ac:dyDescent="0.75">
      <c r="A87" s="1">
        <f>report!A87</f>
        <v>41360.041250000002</v>
      </c>
      <c r="B87" s="2">
        <f>IF(OR(report!B87="",report!B88=""),NA(),report!B87/report!B88-1)</f>
        <v>-5.0620096178177754E-4</v>
      </c>
      <c r="C87" s="2">
        <f>IF(OR(report!D87="",report!D88=""),NA(),report!D87/report!D88-1)</f>
        <v>5.555555555555558E-2</v>
      </c>
      <c r="D87" s="2">
        <f>IF(OR(report!F87="",report!F88=""),NA(),report!F87/report!F88-1)</f>
        <v>5.3846153846153211E-3</v>
      </c>
      <c r="E87" s="2">
        <f>IF(OR(report!H87="",report!H88=""),NA(),report!H87/report!H88-1)</f>
        <v>4.7619043734023592E-2</v>
      </c>
      <c r="F87" s="2">
        <f>IF(OR(report!J87="",report!J88=""),NA(),report!J87/report!J88-1)</f>
        <v>7.7763215377894435E-2</v>
      </c>
      <c r="G87" s="2">
        <f>IF(OR(report!L87="",report!L88=""),NA(),report!L87/report!L88-1)</f>
        <v>-9.9587798845836795E-2</v>
      </c>
      <c r="H87" s="2">
        <f>IF(OR(report!N87="",report!N88=""),NA(),report!N87/report!N88-1)</f>
        <v>2.66847580280416E-2</v>
      </c>
      <c r="I87" s="2">
        <f>IF(OR(report!P87="",report!P88=""),NA(),report!P87/report!P88-1)</f>
        <v>2.3504291736363925E-2</v>
      </c>
      <c r="J87" s="2">
        <f>IF(OR(report!R87="",report!R88=""),NA(),report!R87/report!R88-1)</f>
        <v>0.15671538749827385</v>
      </c>
      <c r="K87" s="2">
        <f>IF(OR(report!T87="",report!T88=""),NA(),report!T87/report!T88-1)</f>
        <v>4.554865424430643E-2</v>
      </c>
      <c r="L87" s="2">
        <f>IF(OR(report!V87="",report!V88=""),NA(),report!V87/report!V88-1)</f>
        <v>1.7892032971468241E-2</v>
      </c>
    </row>
    <row r="88" spans="1:12" x14ac:dyDescent="0.75">
      <c r="A88" s="1">
        <f>report!A88</f>
        <v>41394.041250000002</v>
      </c>
      <c r="B88" s="2">
        <f>IF(OR(report!B88="",report!B89=""),NA(),report!B88/report!B89-1)</f>
        <v>4.440919904837437E-2</v>
      </c>
      <c r="C88" s="2">
        <f>IF(OR(report!D88="",report!D89=""),NA(),report!D88/report!D89-1)</f>
        <v>-8.3072100313479669E-2</v>
      </c>
      <c r="D88" s="2">
        <f>IF(OR(report!F88="",report!F89=""),NA(),report!F88/report!F89-1)</f>
        <v>-4.8117154811715412E-2</v>
      </c>
      <c r="E88" s="2">
        <f>IF(OR(report!H88="",report!H89=""),NA(),report!H88/report!H89-1)</f>
        <v>2.5070055478201736E-2</v>
      </c>
      <c r="F88" s="2">
        <f>IF(OR(report!J88="",report!J89=""),NA(),report!J88/report!J89-1)</f>
        <v>0.12000000000000011</v>
      </c>
      <c r="G88" s="2">
        <f>IF(OR(report!L88="",report!L89=""),NA(),report!L88/report!L89-1)</f>
        <v>5.975886772671668E-2</v>
      </c>
      <c r="H88" s="2">
        <f>IF(OR(report!N88="",report!N89=""),NA(),report!N88/report!N89-1)</f>
        <v>0.10549999999999993</v>
      </c>
      <c r="I88" s="2">
        <f>IF(OR(report!P88="",report!P89=""),NA(),report!P88/report!P89-1)</f>
        <v>-3.5935009143893581E-2</v>
      </c>
      <c r="J88" s="2">
        <f>IF(OR(report!R88="",report!R89=""),NA(),report!R88/report!R89-1)</f>
        <v>4.4695845697329428E-2</v>
      </c>
      <c r="K88" s="2">
        <f>IF(OR(report!T88="",report!T89=""),NA(),report!T88/report!T89-1)</f>
        <v>2.4390243902439046E-2</v>
      </c>
      <c r="L88" s="2">
        <f>IF(OR(report!V88="",report!V89=""),NA(),report!V88/report!V89-1)</f>
        <v>1.0574518740807948E-2</v>
      </c>
    </row>
    <row r="89" spans="1:12" x14ac:dyDescent="0.75">
      <c r="A89" s="1">
        <f>report!A89</f>
        <v>41425.041250000002</v>
      </c>
      <c r="B89" s="2">
        <f>IF(OR(report!B89="",report!B90=""),NA(),report!B89/report!B90-1)</f>
        <v>-3.6178343949044622E-2</v>
      </c>
      <c r="C89" s="2">
        <f>IF(OR(report!D89="",report!D90=""),NA(),report!D89/report!D90-1)</f>
        <v>8.503401360544216E-2</v>
      </c>
      <c r="D89" s="2">
        <f>IF(OR(report!F89="",report!F90=""),NA(),report!F89/report!F90-1)</f>
        <v>-3.4343434343434454E-2</v>
      </c>
      <c r="E89" s="2">
        <f>IF(OR(report!H89="",report!H90=""),NA(),report!H89/report!H90-1)</f>
        <v>3.3216503475905546E-2</v>
      </c>
      <c r="F89" s="2">
        <f>IF(OR(report!J89="",report!J90=""),NA(),report!J89/report!J90-1)</f>
        <v>6.556308654848797E-2</v>
      </c>
      <c r="G89" s="2">
        <f>IF(OR(report!L89="",report!L90=""),NA(),report!L89/report!L90-1)</f>
        <v>-2.7031621897313896E-2</v>
      </c>
      <c r="H89" s="2">
        <f>IF(OR(report!N89="",report!N90=""),NA(),report!N89/report!N90-1)</f>
        <v>-3.3816425120772875E-2</v>
      </c>
      <c r="I89" s="2">
        <f>IF(OR(report!P89="",report!P90=""),NA(),report!P89/report!P90-1)</f>
        <v>4.3467888248000408E-2</v>
      </c>
      <c r="J89" s="2">
        <f>IF(OR(report!R89="",report!R90=""),NA(),report!R89/report!R90-1)</f>
        <v>0.23909713001736277</v>
      </c>
      <c r="K89" s="2">
        <f>IF(OR(report!T89="",report!T90=""),NA(),report!T89/report!T90-1)</f>
        <v>3.3991228070175517E-2</v>
      </c>
      <c r="L89" s="2">
        <f>IF(OR(report!V89="",report!V90=""),NA(),report!V89/report!V90-1)</f>
        <v>3.2218340676617441E-3</v>
      </c>
    </row>
    <row r="90" spans="1:12" x14ac:dyDescent="0.75">
      <c r="A90" s="1">
        <f>report!A90</f>
        <v>41453.041250000002</v>
      </c>
      <c r="B90" s="2">
        <f>IF(OR(report!B90="",report!B91=""),NA(),report!B90/report!B91-1)</f>
        <v>-9.143518518518523E-2</v>
      </c>
      <c r="C90" s="2">
        <f>IF(OR(report!D90="",report!D91=""),NA(),report!D90/report!D91-1)</f>
        <v>-6.5182829888712268E-2</v>
      </c>
      <c r="D90" s="2">
        <f>IF(OR(report!F90="",report!F91=""),NA(),report!F90/report!F91-1)</f>
        <v>-0.15384615384615385</v>
      </c>
      <c r="E90" s="2">
        <f>IF(OR(report!H90="",report!H91=""),NA(),report!H90/report!H91-1)</f>
        <v>-1.2934266061402022E-2</v>
      </c>
      <c r="F90" s="2">
        <f>IF(OR(report!J90="",report!J91=""),NA(),report!J90/report!J91-1)</f>
        <v>-5.459026494146646E-2</v>
      </c>
      <c r="G90" s="2">
        <f>IF(OR(report!L90="",report!L91=""),NA(),report!L90/report!L91-1)</f>
        <v>-0.13065326633165819</v>
      </c>
      <c r="H90" s="2">
        <f>IF(OR(report!N90="",report!N91=""),NA(),report!N90/report!N91-1)</f>
        <v>8.0350620891160851E-3</v>
      </c>
      <c r="I90" s="2">
        <f>IF(OR(report!P90="",report!P91=""),NA(),report!P90/report!P91-1)</f>
        <v>-3.0952370358003911E-3</v>
      </c>
      <c r="J90" s="2">
        <f>IF(OR(report!R90="",report!R91=""),NA(),report!R90/report!R91-1)</f>
        <v>-2.4436417984805114E-2</v>
      </c>
      <c r="K90" s="2">
        <f>IF(OR(report!T90="",report!T91=""),NA(),report!T90/report!T91-1)</f>
        <v>4.3776824034334583E-2</v>
      </c>
      <c r="L90" s="2">
        <f>IF(OR(report!V90="",report!V91=""),NA(),report!V90/report!V91-1)</f>
        <v>5.5526779916033053E-3</v>
      </c>
    </row>
    <row r="91" spans="1:12" x14ac:dyDescent="0.75">
      <c r="A91" s="1">
        <f>report!A91</f>
        <v>41486.041250000002</v>
      </c>
      <c r="B91" s="2">
        <f>IF(OR(report!B91="",report!B92=""),NA(),report!B91/report!B92-1)</f>
        <v>0.11196911196911197</v>
      </c>
      <c r="C91" s="2">
        <f>IF(OR(report!D91="",report!D92=""),NA(),report!D91/report!D92-1)</f>
        <v>-3.0069390902081716E-2</v>
      </c>
      <c r="D91" s="2">
        <f>IF(OR(report!F91="",report!F92=""),NA(),report!F91/report!F92-1)</f>
        <v>-2.5000000000000022E-2</v>
      </c>
      <c r="E91" s="2">
        <f>IF(OR(report!H91="",report!H92=""),NA(),report!H91/report!H92-1)</f>
        <v>-2.1011583972986303E-3</v>
      </c>
      <c r="F91" s="2">
        <f>IF(OR(report!J91="",report!J92=""),NA(),report!J91/report!J92-1)</f>
        <v>-2.8027308659719585E-2</v>
      </c>
      <c r="G91" s="2">
        <f>IF(OR(report!L91="",report!L92=""),NA(),report!L91/report!L92-1)</f>
        <v>-2.0981044711329777E-2</v>
      </c>
      <c r="H91" s="2">
        <f>IF(OR(report!N91="",report!N92=""),NA(),report!N91/report!N92-1)</f>
        <v>-3.8173302107728402E-2</v>
      </c>
      <c r="I91" s="2">
        <f>IF(OR(report!P91="",report!P92=""),NA(),report!P91/report!P92-1)</f>
        <v>0.10935022859898447</v>
      </c>
      <c r="J91" s="2">
        <f>IF(OR(report!R91="",report!R92=""),NA(),report!R91/report!R92-1)</f>
        <v>-1.5571358509073097E-2</v>
      </c>
      <c r="K91" s="2">
        <f>IF(OR(report!T91="",report!T92=""),NA(),report!T91/report!T92-1)</f>
        <v>9.082397003745335E-2</v>
      </c>
      <c r="L91" s="2">
        <f>IF(OR(report!V91="",report!V92=""),NA(),report!V91/report!V92-1)</f>
        <v>-1.548453782219017E-3</v>
      </c>
    </row>
    <row r="92" spans="1:12" x14ac:dyDescent="0.75">
      <c r="A92" s="1">
        <f>report!A92</f>
        <v>41516.041250000002</v>
      </c>
      <c r="B92" s="2">
        <f>IF(OR(report!B92="",report!B93=""),NA(),report!B92/report!B93-1)</f>
        <v>-4.5219955763086683E-2</v>
      </c>
      <c r="C92" s="2">
        <f>IF(OR(report!D92="",report!D93=""),NA(),report!D92/report!D93-1)</f>
        <v>3.5115722266560345E-2</v>
      </c>
      <c r="D92" s="2">
        <f>IF(OR(report!F92="",report!F93=""),NA(),report!F92/report!F93-1)</f>
        <v>2.564102564102555E-2</v>
      </c>
      <c r="E92" s="2">
        <f>IF(OR(report!H92="",report!H93=""),NA(),report!H92/report!H93-1)</f>
        <v>-2.0967527875719316E-3</v>
      </c>
      <c r="F92" s="2">
        <f>IF(OR(report!J92="",report!J93=""),NA(),report!J92/report!J93-1)</f>
        <v>2.1534320323014722E-2</v>
      </c>
      <c r="G92" s="2">
        <f>IF(OR(report!L92="",report!L93=""),NA(),report!L92/report!L93-1)</f>
        <v>-5.3546973431936373E-2</v>
      </c>
      <c r="H92" s="2">
        <f>IF(OR(report!N92="",report!N93=""),NA(),report!N92/report!N93-1)</f>
        <v>-3.6117381489841893E-2</v>
      </c>
      <c r="I92" s="2">
        <f>IF(OR(report!P92="",report!P93=""),NA(),report!P92/report!P93-1)</f>
        <v>-6.5599557320868973E-3</v>
      </c>
      <c r="J92" s="2">
        <f>IF(OR(report!R92="",report!R93=""),NA(),report!R92/report!R93-1)</f>
        <v>5.9578558993945929E-2</v>
      </c>
      <c r="K92" s="2">
        <f>IF(OR(report!T92="",report!T93=""),NA(),report!T92/report!T93-1)</f>
        <v>-6.9145845438698506E-2</v>
      </c>
      <c r="L92" s="2">
        <f>IF(OR(report!V92="",report!V93=""),NA(),report!V92/report!V93-1)</f>
        <v>6.6218940772106993E-3</v>
      </c>
    </row>
    <row r="93" spans="1:12" x14ac:dyDescent="0.75">
      <c r="A93" s="1">
        <f>report!A93</f>
        <v>41547.041250000002</v>
      </c>
      <c r="B93" s="2">
        <f>IF(OR(report!B93="",report!B94=""),NA(),report!B93/report!B94-1)</f>
        <v>-7.1640428929956701E-2</v>
      </c>
      <c r="C93" s="2">
        <f>IF(OR(report!D93="",report!D94=""),NA(),report!D93/report!D94-1)</f>
        <v>5.6492411467116366E-2</v>
      </c>
      <c r="D93" s="2">
        <f>IF(OR(report!F93="",report!F94=""),NA(),report!F93/report!F94-1)</f>
        <v>-8.4745762711864181E-3</v>
      </c>
      <c r="E93" s="2">
        <f>IF(OR(report!H93="",report!H94=""),NA(),report!H93/report!H94-1)</f>
        <v>-1.6352387704217874E-2</v>
      </c>
      <c r="F93" s="2">
        <f>IF(OR(report!J93="",report!J94=""),NA(),report!J93/report!J94-1)</f>
        <v>-1.8611911623439004E-2</v>
      </c>
      <c r="G93" s="2">
        <f>IF(OR(report!L93="",report!L94=""),NA(),report!L93/report!L94-1)</f>
        <v>-0.18340416014314476</v>
      </c>
      <c r="H93" s="2">
        <f>IF(OR(report!N93="",report!N94=""),NA(),report!N93/report!N94-1)</f>
        <v>-2.3799030409872302E-2</v>
      </c>
      <c r="I93" s="2">
        <f>IF(OR(report!P93="",report!P94=""),NA(),report!P93/report!P94-1)</f>
        <v>-3.9324413364448918E-2</v>
      </c>
      <c r="J93" s="2">
        <f>IF(OR(report!R93="",report!R94=""),NA(),report!R93/report!R94-1)</f>
        <v>8.1728880157170281E-3</v>
      </c>
      <c r="K93" s="2">
        <f>IF(OR(report!T93="",report!T94=""),NA(),report!T93/report!T94-1)</f>
        <v>1.4740566037735769E-2</v>
      </c>
      <c r="L93" s="2">
        <f>IF(OR(report!V93="",report!V94=""),NA(),report!V93/report!V94-1)</f>
        <v>-3.3142723742400904E-3</v>
      </c>
    </row>
    <row r="94" spans="1:12" x14ac:dyDescent="0.75">
      <c r="A94" s="1">
        <f>report!A94</f>
        <v>41578.041250000002</v>
      </c>
      <c r="B94" s="2">
        <f>IF(OR(report!B94="",report!B95=""),NA(),report!B94/report!B95-1)</f>
        <v>7.4264705882352899E-2</v>
      </c>
      <c r="C94" s="2">
        <f>IF(OR(report!D94="",report!D95=""),NA(),report!D94/report!D95-1)</f>
        <v>-3.967611336032395E-2</v>
      </c>
      <c r="D94" s="2">
        <f>IF(OR(report!F94="",report!F95=""),NA(),report!F94/report!F95-1)</f>
        <v>3.5087719298245723E-2</v>
      </c>
      <c r="E94" s="2">
        <f>IF(OR(report!H94="",report!H95=""),NA(),report!H94/report!H95-1)</f>
        <v>-1.4947036600643338E-2</v>
      </c>
      <c r="F94" s="2">
        <f>IF(OR(report!J94="",report!J95=""),NA(),report!J94/report!J95-1)</f>
        <v>-7.0743137692479419E-2</v>
      </c>
      <c r="G94" s="2">
        <f>IF(OR(report!L94="",report!L95=""),NA(),report!L94/report!L95-1)</f>
        <v>-2.8043478260869503E-2</v>
      </c>
      <c r="H94" s="2">
        <f>IF(OR(report!N94="",report!N95=""),NA(),report!N94/report!N95-1)</f>
        <v>-1.4549402823018309E-2</v>
      </c>
      <c r="I94" s="2">
        <f>IF(OR(report!P94="",report!P95=""),NA(),report!P94/report!P95-1)</f>
        <v>1.8746783544721257E-2</v>
      </c>
      <c r="J94" s="2">
        <f>IF(OR(report!R94="",report!R95=""),NA(),report!R94/report!R95-1)</f>
        <v>0.13639746375733042</v>
      </c>
      <c r="K94" s="2">
        <f>IF(OR(report!T94="",report!T95=""),NA(),report!T94/report!T95-1)</f>
        <v>-2.0785219399538035E-2</v>
      </c>
      <c r="L94" s="2">
        <f>IF(OR(report!V94="",report!V95=""),NA(),report!V94/report!V95-1)</f>
        <v>-1.0321703627712675E-2</v>
      </c>
    </row>
    <row r="95" spans="1:12" x14ac:dyDescent="0.75">
      <c r="A95" s="1">
        <f>report!A95</f>
        <v>41607.041250000002</v>
      </c>
      <c r="B95" s="2">
        <f>IF(OR(report!B95="",report!B96=""),NA(),report!B95/report!B96-1)</f>
        <v>1.4925373134328179E-2</v>
      </c>
      <c r="C95" s="2">
        <f>IF(OR(report!D95="",report!D96=""),NA(),report!D95/report!D96-1)</f>
        <v>-5.7971014492753659E-2</v>
      </c>
      <c r="D95" s="2">
        <f>IF(OR(report!F95="",report!F96=""),NA(),report!F95/report!F96-1)</f>
        <v>-1.0674303566779564E-2</v>
      </c>
      <c r="E95" s="2">
        <f>IF(OR(report!H95="",report!H96=""),NA(),report!H95/report!H96-1)</f>
        <v>-1.2750701836040212E-2</v>
      </c>
      <c r="F95" s="2">
        <f>IF(OR(report!J95="",report!J96=""),NA(),report!J95/report!J96-1)</f>
        <v>-1.9045534150612942E-2</v>
      </c>
      <c r="G95" s="2">
        <f>IF(OR(report!L95="",report!L96=""),NA(),report!L95/report!L96-1)</f>
        <v>-6.8637375987041893E-2</v>
      </c>
      <c r="H95" s="2">
        <f>IF(OR(report!N95="",report!N96=""),NA(),report!N95/report!N96-1)</f>
        <v>-9.0380890897353572E-3</v>
      </c>
      <c r="I95" s="2">
        <f>IF(OR(report!P95="",report!P96=""),NA(),report!P95/report!P96-1)</f>
        <v>5.016179434618051E-2</v>
      </c>
      <c r="J95" s="2">
        <f>IF(OR(report!R95="",report!R96=""),NA(),report!R95/report!R96-1)</f>
        <v>3.6245295823307933E-2</v>
      </c>
      <c r="K95" s="2">
        <f>IF(OR(report!T95="",report!T96=""),NA(),report!T95/report!T96-1)</f>
        <v>1.1091652072387603E-2</v>
      </c>
      <c r="L95" s="2">
        <f>IF(OR(report!V95="",report!V96=""),NA(),report!V95/report!V96-1)</f>
        <v>-1.0946042088881724E-2</v>
      </c>
    </row>
    <row r="96" spans="1:12" x14ac:dyDescent="0.75">
      <c r="A96" s="1">
        <f>report!A96</f>
        <v>41639.041250000002</v>
      </c>
      <c r="B96" s="2">
        <f>IF(OR(report!B96="",report!B97=""),NA(),report!B96/report!B97-1)</f>
        <v>0.13143822122150306</v>
      </c>
      <c r="C96" s="2">
        <f>IF(OR(report!D96="",report!D97=""),NA(),report!D96/report!D97-1)</f>
        <v>-7.2186836518046804E-2</v>
      </c>
      <c r="D96" s="2">
        <f>IF(OR(report!F96="",report!F97=""),NA(),report!F96/report!F97-1)</f>
        <v>1.9734513274336285E-2</v>
      </c>
      <c r="E96" s="2">
        <f>IF(OR(report!H96="",report!H97=""),NA(),report!H96/report!H97-1)</f>
        <v>-3.7772277196761239E-2</v>
      </c>
      <c r="F96" s="2">
        <f>IF(OR(report!J96="",report!J97=""),NA(),report!J96/report!J97-1)</f>
        <v>8.2208007581141773E-2</v>
      </c>
      <c r="G96" s="2">
        <f>IF(OR(report!L96="",report!L97=""),NA(),report!L96/report!L97-1)</f>
        <v>-9.1594629391208326E-2</v>
      </c>
      <c r="H96" s="2">
        <f>IF(OR(report!N96="",report!N97=""),NA(),report!N96/report!N97-1)</f>
        <v>0.10880458124552628</v>
      </c>
      <c r="I96" s="2">
        <f>IF(OR(report!P96="",report!P97=""),NA(),report!P96/report!P97-1)</f>
        <v>8.7390030580827505E-2</v>
      </c>
      <c r="J96" s="2">
        <f>IF(OR(report!R96="",report!R97=""),NA(),report!R96/report!R97-1)</f>
        <v>3.5222736707648084E-2</v>
      </c>
      <c r="K96" s="2">
        <f>IF(OR(report!T96="",report!T97=""),NA(),report!T96/report!T97-1)</f>
        <v>7.0624999999999938E-2</v>
      </c>
      <c r="L96" s="2">
        <f>IF(OR(report!V96="",report!V97=""),NA(),report!V96/report!V97-1)</f>
        <v>-4.4514764756986569E-4</v>
      </c>
    </row>
    <row r="97" spans="1:12" x14ac:dyDescent="0.75">
      <c r="A97" s="1">
        <f>report!A97</f>
        <v>41670.041250000002</v>
      </c>
      <c r="B97" s="2">
        <f>IF(OR(report!B97="",report!B98=""),NA(),report!B97/report!B98-1)</f>
        <v>2.2446043165467611E-2</v>
      </c>
      <c r="C97" s="2">
        <f>IF(OR(report!D97="",report!D98=""),NA(),report!D97/report!D98-1)</f>
        <v>-4.6558704453441235E-2</v>
      </c>
      <c r="D97" s="2">
        <f>IF(OR(report!F97="",report!F98=""),NA(),report!F97/report!F98-1)</f>
        <v>2.7272727272727337E-2</v>
      </c>
      <c r="E97" s="2">
        <f>IF(OR(report!H97="",report!H98=""),NA(),report!H97/report!H98-1)</f>
        <v>2.0396692343063405E-2</v>
      </c>
      <c r="F97" s="2">
        <f>IF(OR(report!J97="",report!J98=""),NA(),report!J97/report!J98-1)</f>
        <v>-1.8714401952807158E-2</v>
      </c>
      <c r="G97" s="2">
        <f>IF(OR(report!L97="",report!L98=""),NA(),report!L97/report!L98-1)</f>
        <v>4.1171964764457947E-2</v>
      </c>
      <c r="H97" s="2">
        <f>IF(OR(report!N97="",report!N98=""),NA(),report!N97/report!N98-1)</f>
        <v>0.20327304048234285</v>
      </c>
      <c r="I97" s="2">
        <f>IF(OR(report!P97="",report!P98=""),NA(),report!P97/report!P98-1)</f>
        <v>6.4626924482212633E-2</v>
      </c>
      <c r="J97" s="2">
        <f>IF(OR(report!R97="",report!R98=""),NA(),report!R97/report!R98-1)</f>
        <v>-2.7031225726270147E-2</v>
      </c>
      <c r="K97" s="2">
        <f>IF(OR(report!T97="",report!T98=""),NA(),report!T97/report!T98-1)</f>
        <v>0.13919544321822719</v>
      </c>
      <c r="L97" s="2">
        <f>IF(OR(report!V97="",report!V98=""),NA(),report!V97/report!V98-1)</f>
        <v>8.740454977646861E-3</v>
      </c>
    </row>
    <row r="98" spans="1:12" x14ac:dyDescent="0.75">
      <c r="A98" s="1">
        <f>report!A98</f>
        <v>41698.041250000002</v>
      </c>
      <c r="B98" s="2">
        <f>IF(OR(report!B98="",report!B99=""),NA(),report!B98/report!B99-1)</f>
        <v>-1.3904653802497169E-2</v>
      </c>
      <c r="C98" s="2">
        <f>IF(OR(report!D98="",report!D99=""),NA(),report!D98/report!D99-1)</f>
        <v>5.1063829787234116E-2</v>
      </c>
      <c r="D98" s="2">
        <f>IF(OR(report!F98="",report!F99=""),NA(),report!F98/report!F99-1)</f>
        <v>-3.5087719298245612E-2</v>
      </c>
      <c r="E98" s="2">
        <f>IF(OR(report!H98="",report!H99=""),NA(),report!H98/report!H99-1)</f>
        <v>-6.7305167751434913E-2</v>
      </c>
      <c r="F98" s="2">
        <f>IF(OR(report!J98="",report!J99=""),NA(),report!J98/report!J99-1)</f>
        <v>-2.0494136399863305E-2</v>
      </c>
      <c r="G98" s="2">
        <f>IF(OR(report!L98="",report!L99=""),NA(),report!L98/report!L99-1)</f>
        <v>-3.2873414205018991E-2</v>
      </c>
      <c r="H98" s="2">
        <f>IF(OR(report!N98="",report!N99=""),NA(),report!N98/report!N99-1)</f>
        <v>-0.10162496775857632</v>
      </c>
      <c r="I98" s="2">
        <f>IF(OR(report!P98="",report!P99=""),NA(),report!P98/report!P99-1)</f>
        <v>-8.3810071119943319E-2</v>
      </c>
      <c r="J98" s="2">
        <f>IF(OR(report!R98="",report!R99=""),NA(),report!R98/report!R99-1)</f>
        <v>-5.671160609613124E-2</v>
      </c>
      <c r="K98" s="2">
        <f>IF(OR(report!T98="",report!T99=""),NA(),report!T98/report!T99-1)</f>
        <v>-9.3285990961910925E-2</v>
      </c>
      <c r="L98" s="2">
        <f>IF(OR(report!V98="",report!V99=""),NA(),report!V98/report!V99-1)</f>
        <v>-1.4183906217738018E-2</v>
      </c>
    </row>
    <row r="99" spans="1:12" x14ac:dyDescent="0.75">
      <c r="A99" s="1">
        <f>report!A99</f>
        <v>41729.041250000002</v>
      </c>
      <c r="B99" s="2">
        <f>IF(OR(report!B99="",report!B100=""),NA(),report!B99/report!B100-1)</f>
        <v>-2.4903154399557259E-2</v>
      </c>
      <c r="C99" s="2">
        <f>IF(OR(report!D99="",report!D100=""),NA(),report!D99/report!D100-1)</f>
        <v>-5.1782111634162686E-2</v>
      </c>
      <c r="D99" s="2">
        <f>IF(OR(report!F99="",report!F100=""),NA(),report!F99/report!F100-1)</f>
        <v>7.547169811320753E-2</v>
      </c>
      <c r="E99" s="2">
        <f>IF(OR(report!H99="",report!H100=""),NA(),report!H99/report!H100-1)</f>
        <v>-3.126589520290779E-2</v>
      </c>
      <c r="F99" s="2">
        <f>IF(OR(report!J99="",report!J100=""),NA(),report!J99/report!J100-1)</f>
        <v>1.2683039317421763E-2</v>
      </c>
      <c r="G99" s="2">
        <f>IF(OR(report!L99="",report!L100=""),NA(),report!L99/report!L100-1)</f>
        <v>-6.5668800830593566E-2</v>
      </c>
      <c r="H99" s="2">
        <f>IF(OR(report!N99="",report!N100=""),NA(),report!N99/report!N100-1)</f>
        <v>-2.8292181069958788E-3</v>
      </c>
      <c r="I99" s="2">
        <f>IF(OR(report!P99="",report!P100=""),NA(),report!P99/report!P100-1)</f>
        <v>2.7932950903283071E-2</v>
      </c>
      <c r="J99" s="2">
        <f>IF(OR(report!R99="",report!R100=""),NA(),report!R99/report!R100-1)</f>
        <v>0.12041506583916206</v>
      </c>
      <c r="K99" s="2">
        <f>IF(OR(report!T99="",report!T100=""),NA(),report!T99/report!T100-1)</f>
        <v>-6.3482466747279309E-2</v>
      </c>
      <c r="L99" s="2">
        <f>IF(OR(report!V99="",report!V100=""),NA(),report!V99/report!V100-1)</f>
        <v>7.1835614545134874E-4</v>
      </c>
    </row>
    <row r="100" spans="1:12" x14ac:dyDescent="0.75">
      <c r="A100" s="1">
        <f>report!A100</f>
        <v>41759.041250000002</v>
      </c>
      <c r="B100" s="2">
        <f>IF(OR(report!B100="",report!B101=""),NA(),report!B100/report!B101-1)</f>
        <v>-2.8494623655914042E-2</v>
      </c>
      <c r="C100" s="2">
        <f>IF(OR(report!D100="",report!D101=""),NA(),report!D100/report!D101-1)</f>
        <v>1.0190217391304213E-2</v>
      </c>
      <c r="D100" s="2">
        <f>IF(OR(report!F100="",report!F101=""),NA(),report!F100/report!F101-1)</f>
        <v>1.9230769230769162E-2</v>
      </c>
      <c r="E100" s="2">
        <f>IF(OR(report!H100="",report!H101=""),NA(),report!H100/report!H101-1)</f>
        <v>-4.0434436128700679E-2</v>
      </c>
      <c r="F100" s="2">
        <f>IF(OR(report!J100="",report!J101=""),NA(),report!J100/report!J101-1)</f>
        <v>-6.7218756721875716E-2</v>
      </c>
      <c r="G100" s="2">
        <f>IF(OR(report!L100="",report!L101=""),NA(),report!L100/report!L101-1)</f>
        <v>-0.1458764410286727</v>
      </c>
      <c r="H100" s="2">
        <f>IF(OR(report!N100="",report!N101=""),NA(),report!N100/report!N101-1)</f>
        <v>-2.5563909774436011E-2</v>
      </c>
      <c r="I100" s="2">
        <f>IF(OR(report!P100="",report!P101=""),NA(),report!P100/report!P101-1)</f>
        <v>-1.0474247093109068E-2</v>
      </c>
      <c r="J100" s="2">
        <f>IF(OR(report!R100="",report!R101=""),NA(),report!R100/report!R101-1)</f>
        <v>-2.1055676996271089E-2</v>
      </c>
      <c r="K100" s="2">
        <f>IF(OR(report!T100="",report!T101=""),NA(),report!T100/report!T101-1)</f>
        <v>1.0076335877862608E-2</v>
      </c>
      <c r="L100" s="2">
        <f>IF(OR(report!V100="",report!V101=""),NA(),report!V100/report!V101-1)</f>
        <v>-4.2224678146924877E-3</v>
      </c>
    </row>
    <row r="101" spans="1:12" x14ac:dyDescent="0.75">
      <c r="A101" s="1">
        <f>report!A101</f>
        <v>41789.041250000002</v>
      </c>
      <c r="B101" s="2">
        <f>IF(OR(report!B101="",report!B102=""),NA(),report!B101/report!B102-1)</f>
        <v>-2.2852639873916392E-2</v>
      </c>
      <c r="C101" s="2">
        <f>IF(OR(report!D101="",report!D102=""),NA(),report!D101/report!D102-1)</f>
        <v>-3.6018336607727464E-2</v>
      </c>
      <c r="D101" s="2">
        <f>IF(OR(report!F101="",report!F102=""),NA(),report!F101/report!F102-1)</f>
        <v>-1.8867924528301883E-2</v>
      </c>
      <c r="E101" s="2">
        <f>IF(OR(report!H101="",report!H102=""),NA(),report!H101/report!H102-1)</f>
        <v>-9.76027399183933E-2</v>
      </c>
      <c r="F101" s="2">
        <f>IF(OR(report!J101="",report!J102=""),NA(),report!J101/report!J102-1)</f>
        <v>2.0476344433666416E-3</v>
      </c>
      <c r="G101" s="2">
        <f>IF(OR(report!L101="",report!L102=""),NA(),report!L101/report!L102-1)</f>
        <v>-0.12837359098228673</v>
      </c>
      <c r="H101" s="2">
        <f>IF(OR(report!N101="",report!N102=""),NA(),report!N101/report!N102-1)</f>
        <v>8.8495575221239076E-3</v>
      </c>
      <c r="I101" s="2">
        <f>IF(OR(report!P101="",report!P102=""),NA(),report!P101/report!P102-1)</f>
        <v>-5.3428789592029791E-2</v>
      </c>
      <c r="J101" s="2">
        <f>IF(OR(report!R101="",report!R102=""),NA(),report!R101/report!R102-1)</f>
        <v>-4.1089978730618815E-2</v>
      </c>
      <c r="K101" s="2">
        <f>IF(OR(report!T101="",report!T102=""),NA(),report!T101/report!T102-1)</f>
        <v>-5.6195965417867533E-2</v>
      </c>
      <c r="L101" s="2">
        <f>IF(OR(report!V101="",report!V102=""),NA(),report!V101/report!V102-1)</f>
        <v>3.5090714982590754E-3</v>
      </c>
    </row>
    <row r="102" spans="1:12" x14ac:dyDescent="0.75">
      <c r="A102" s="1">
        <f>report!A102</f>
        <v>41820.041250000002</v>
      </c>
      <c r="B102" s="2">
        <f>IF(OR(report!B102="",report!B103=""),NA(),report!B102/report!B103-1)</f>
        <v>-6.2546170893868491E-2</v>
      </c>
      <c r="C102" s="2">
        <f>IF(OR(report!D102="",report!D103=""),NA(),report!D102/report!D103-1)</f>
        <v>3.5956580732700028E-2</v>
      </c>
      <c r="D102" s="2">
        <f>IF(OR(report!F102="",report!F103=""),NA(),report!F102/report!F103-1)</f>
        <v>2.9126213592232997E-2</v>
      </c>
      <c r="E102" s="2">
        <f>IF(OR(report!H102="",report!H103=""),NA(),report!H102/report!H103-1)</f>
        <v>-1.3402414385303318E-2</v>
      </c>
      <c r="F102" s="2">
        <f>IF(OR(report!J102="",report!J103=""),NA(),report!J102/report!J103-1)</f>
        <v>5.6111996357842031E-2</v>
      </c>
      <c r="G102" s="2">
        <f>IF(OR(report!L102="",report!L103=""),NA(),report!L102/report!L103-1)</f>
        <v>7.3057782692839357E-2</v>
      </c>
      <c r="H102" s="2">
        <f>IF(OR(report!N102="",report!N103=""),NA(),report!N102/report!N103-1)</f>
        <v>5.7203956161454128E-2</v>
      </c>
      <c r="I102" s="2">
        <f>IF(OR(report!P102="",report!P103=""),NA(),report!P102/report!P103-1)</f>
        <v>8.0333205082370407E-2</v>
      </c>
      <c r="J102" s="2">
        <f>IF(OR(report!R102="",report!R103=""),NA(),report!R102/report!R103-1)</f>
        <v>-1.8129539951573737E-2</v>
      </c>
      <c r="K102" s="2">
        <f>IF(OR(report!T102="",report!T103=""),NA(),report!T102/report!T103-1)</f>
        <v>5.7926829268292845E-2</v>
      </c>
      <c r="L102" s="2">
        <f>IF(OR(report!V102="",report!V103=""),NA(),report!V102/report!V103-1)</f>
        <v>-1.8428663290132041E-3</v>
      </c>
    </row>
    <row r="103" spans="1:12" x14ac:dyDescent="0.75">
      <c r="A103" s="1">
        <f>report!A103</f>
        <v>41851.041250000002</v>
      </c>
      <c r="B103" s="2">
        <f>IF(OR(report!B103="",report!B104=""),NA(),report!B103/report!B104-1)</f>
        <v>-1.3362487852283667E-2</v>
      </c>
      <c r="C103" s="2">
        <f>IF(OR(report!D103="",report!D104=""),NA(),report!D103/report!D104-1)</f>
        <v>-4.5336787564766778E-2</v>
      </c>
      <c r="D103" s="2">
        <f>IF(OR(report!F103="",report!F104=""),NA(),report!F103/report!F104-1)</f>
        <v>-3.2682193839218665E-2</v>
      </c>
      <c r="E103" s="2">
        <f>IF(OR(report!H103="",report!H104=""),NA(),report!H103/report!H104-1)</f>
        <v>-2.1813366599604755E-2</v>
      </c>
      <c r="F103" s="2">
        <f>IF(OR(report!J103="",report!J104=""),NA(),report!J103/report!J104-1)</f>
        <v>-4.5518739815317732E-2</v>
      </c>
      <c r="G103" s="2">
        <f>IF(OR(report!L103="",report!L104=""),NA(),report!L103/report!L104-1)</f>
        <v>-3.0099886036066059E-2</v>
      </c>
      <c r="H103" s="2">
        <f>IF(OR(report!N103="",report!N104=""),NA(),report!N103/report!N104-1)</f>
        <v>2.157291097760794E-2</v>
      </c>
      <c r="I103" s="2">
        <f>IF(OR(report!P103="",report!P104=""),NA(),report!P103/report!P104-1)</f>
        <v>-3.6686716931468299E-2</v>
      </c>
      <c r="J103" s="2">
        <f>IF(OR(report!R103="",report!R104=""),NA(),report!R103/report!R104-1)</f>
        <v>-4.2194092827004814E-3</v>
      </c>
      <c r="K103" s="2">
        <f>IF(OR(report!T103="",report!T104=""),NA(),report!T103/report!T104-1)</f>
        <v>-7.8651685393258508E-2</v>
      </c>
      <c r="L103" s="2">
        <f>IF(OR(report!V103="",report!V104=""),NA(),report!V103/report!V104-1)</f>
        <v>5.3103126756737229E-3</v>
      </c>
    </row>
    <row r="104" spans="1:12" x14ac:dyDescent="0.75">
      <c r="A104" s="1">
        <f>report!A104</f>
        <v>41880.041250000002</v>
      </c>
      <c r="B104" s="2">
        <f>IF(OR(report!B104="",report!B105=""),NA(),report!B104/report!B105-1)</f>
        <v>5.7010785824345156E-2</v>
      </c>
      <c r="C104" s="2">
        <f>IF(OR(report!D104="",report!D105=""),NA(),report!D104/report!D105-1)</f>
        <v>-7.7120822622108731E-3</v>
      </c>
      <c r="D104" s="2">
        <f>IF(OR(report!F104="",report!F105=""),NA(),report!F104/report!F105-1)</f>
        <v>4.5283018867925406E-3</v>
      </c>
      <c r="E104" s="2">
        <f>IF(OR(report!H104="",report!H105=""),NA(),report!H104/report!H105-1)</f>
        <v>8.8212194831349677E-4</v>
      </c>
      <c r="F104" s="2">
        <f>IF(OR(report!J104="",report!J105=""),NA(),report!J104/report!J105-1)</f>
        <v>7.3093961296339494E-2</v>
      </c>
      <c r="G104" s="2">
        <f>IF(OR(report!L104="",report!L105=""),NA(),report!L104/report!L105-1)</f>
        <v>4.0382201143813523E-2</v>
      </c>
      <c r="H104" s="2">
        <f>IF(OR(report!N104="",report!N105=""),NA(),report!N104/report!N105-1)</f>
        <v>1.8070614400889529E-2</v>
      </c>
      <c r="I104" s="2">
        <f>IF(OR(report!P104="",report!P105=""),NA(),report!P104/report!P105-1)</f>
        <v>0.10048964073944888</v>
      </c>
      <c r="J104" s="2">
        <f>IF(OR(report!R104="",report!R105=""),NA(),report!R104/report!R105-1)</f>
        <v>8.021877848678205E-2</v>
      </c>
      <c r="K104" s="2">
        <f>IF(OR(report!T104="",report!T105=""),NA(),report!T104/report!T105-1)</f>
        <v>5.4190109564702382E-2</v>
      </c>
      <c r="L104" s="2">
        <f>IF(OR(report!V104="",report!V105=""),NA(),report!V104/report!V105-1)</f>
        <v>-2.356428960458401E-3</v>
      </c>
    </row>
    <row r="105" spans="1:12" x14ac:dyDescent="0.75">
      <c r="A105" s="1">
        <f>report!A105</f>
        <v>41912.041250000002</v>
      </c>
      <c r="B105" s="2">
        <f>IF(OR(report!B105="",report!B106=""),NA(),report!B105/report!B106-1)</f>
        <v>-1.1424219345011477E-2</v>
      </c>
      <c r="C105" s="2">
        <f>IF(OR(report!D105="",report!D106=""),NA(),report!D105/report!D106-1)</f>
        <v>5.4915254237288158E-2</v>
      </c>
      <c r="D105" s="2">
        <f>IF(OR(report!F105="",report!F106=""),NA(),report!F105/report!F106-1)</f>
        <v>9.4348523445697552E-5</v>
      </c>
      <c r="E105" s="2">
        <f>IF(OR(report!H105="",report!H106=""),NA(),report!H105/report!H106-1)</f>
        <v>-1.0160568086883925E-2</v>
      </c>
      <c r="F105" s="2">
        <f>IF(OR(report!J105="",report!J106=""),NA(),report!J105/report!J106-1)</f>
        <v>-7.0610024308368491E-3</v>
      </c>
      <c r="G105" s="2">
        <f>IF(OR(report!L105="",report!L106=""),NA(),report!L105/report!L106-1)</f>
        <v>-3.3110796412435084E-2</v>
      </c>
      <c r="H105" s="2">
        <f>IF(OR(report!N105="",report!N106=""),NA(),report!N105/report!N106-1)</f>
        <v>4.8076923076923128E-2</v>
      </c>
      <c r="I105" s="2">
        <f>IF(OR(report!P105="",report!P106=""),NA(),report!P105/report!P106-1)</f>
        <v>1.713407945161749E-2</v>
      </c>
      <c r="J105" s="2">
        <f>IF(OR(report!R105="",report!R106=""),NA(),report!R105/report!R106-1)</f>
        <v>1.6345708424326588E-2</v>
      </c>
      <c r="K105" s="2">
        <f>IF(OR(report!T105="",report!T106=""),NA(),report!T105/report!T106-1)</f>
        <v>8.4805653710247508E-2</v>
      </c>
      <c r="L105" s="2">
        <f>IF(OR(report!V105="",report!V106=""),NA(),report!V105/report!V106-1)</f>
        <v>-2.6168541676707679E-3</v>
      </c>
    </row>
    <row r="106" spans="1:12" x14ac:dyDescent="0.75">
      <c r="A106" s="1">
        <f>report!A106</f>
        <v>41943.041250000002</v>
      </c>
      <c r="B106" s="2">
        <f>IF(OR(report!B106="",report!B107=""),NA(),report!B106/report!B107-1)</f>
        <v>7.1592942981335561E-3</v>
      </c>
      <c r="C106" s="2">
        <f>IF(OR(report!D106="",report!D107=""),NA(),report!D106/report!D107-1)</f>
        <v>-3.9087947882736174E-2</v>
      </c>
      <c r="D106" s="2">
        <f>IF(OR(report!F106="",report!F107=""),NA(),report!F106/report!F107-1)</f>
        <v>-9.4339622641603782E-5</v>
      </c>
      <c r="E106" s="2">
        <f>IF(OR(report!H106="",report!H107=""),NA(),report!H106/report!H107-1)</f>
        <v>-3.4247704087871811E-2</v>
      </c>
      <c r="F106" s="2">
        <f>IF(OR(report!J106="",report!J107=""),NA(),report!J106/report!J107-1)</f>
        <v>9.6319796954314807E-2</v>
      </c>
      <c r="G106" s="2">
        <f>IF(OR(report!L106="",report!L107=""),NA(),report!L106/report!L107-1)</f>
        <v>-3.2807200626141397E-2</v>
      </c>
      <c r="H106" s="2">
        <f>IF(OR(report!N106="",report!N107=""),NA(),report!N106/report!N107-1)</f>
        <v>-4.6136742634797057E-2</v>
      </c>
      <c r="I106" s="2">
        <f>IF(OR(report!P106="",report!P107=""),NA(),report!P106/report!P107-1)</f>
        <v>-1.0286481741572984E-2</v>
      </c>
      <c r="J106" s="2">
        <f>IF(OR(report!R106="",report!R107=""),NA(),report!R106/report!R107-1)</f>
        <v>-6.0841253658695527E-3</v>
      </c>
      <c r="K106" s="2">
        <f>IF(OR(report!T106="",report!T107=""),NA(),report!T106/report!T107-1)</f>
        <v>4.6386554621848708E-2</v>
      </c>
      <c r="L106" s="2">
        <f>IF(OR(report!V106="",report!V107=""),NA(),report!V106/report!V107-1)</f>
        <v>4.4990373198217082E-3</v>
      </c>
    </row>
    <row r="107" spans="1:12" x14ac:dyDescent="0.75">
      <c r="A107" s="1">
        <f>report!A107</f>
        <v>41971.041250000002</v>
      </c>
      <c r="B107" s="2">
        <f>IF(OR(report!B107="",report!B108=""),NA(),report!B107/report!B108-1)</f>
        <v>-3.9066339066339162E-2</v>
      </c>
      <c r="C107" s="2">
        <f>IF(OR(report!D107="",report!D108=""),NA(),report!D107/report!D108-1)</f>
        <v>0.1480927449513838</v>
      </c>
      <c r="D107" s="2">
        <f>IF(OR(report!F107="",report!F108=""),NA(),report!F107/report!F108-1)</f>
        <v>1.9230769230769162E-2</v>
      </c>
      <c r="E107" s="2">
        <f>IF(OR(report!H107="",report!H108=""),NA(),report!H107/report!H108-1)</f>
        <v>2.3188097808435559E-2</v>
      </c>
      <c r="F107" s="2">
        <f>IF(OR(report!J107="",report!J108=""),NA(),report!J107/report!J108-1)</f>
        <v>-2.9556650246305494E-2</v>
      </c>
      <c r="G107" s="2">
        <f>IF(OR(report!L107="",report!L108=""),NA(),report!L107/report!L108-1)</f>
        <v>-2.5425883549453299E-2</v>
      </c>
      <c r="H107" s="2">
        <f>IF(OR(report!N107="",report!N108=""),NA(),report!N107/report!N108-1)</f>
        <v>1.5237020316027028E-2</v>
      </c>
      <c r="I107" s="2">
        <f>IF(OR(report!P107="",report!P108=""),NA(),report!P107/report!P108-1)</f>
        <v>-1.8573936239078104E-2</v>
      </c>
      <c r="J107" s="2">
        <f>IF(OR(report!R107="",report!R108=""),NA(),report!R107/report!R108-1)</f>
        <v>5.3932272711517903E-2</v>
      </c>
      <c r="K107" s="2">
        <f>IF(OR(report!T107="",report!T108=""),NA(),report!T107/report!T108-1)</f>
        <v>-6.210592686002514E-2</v>
      </c>
      <c r="L107" s="2">
        <f>IF(OR(report!V107="",report!V108=""),NA(),report!V107/report!V108-1)</f>
        <v>-2.0130276603718911E-2</v>
      </c>
    </row>
    <row r="108" spans="1:12" x14ac:dyDescent="0.75">
      <c r="A108" s="1">
        <f>report!A108</f>
        <v>42004.041250000002</v>
      </c>
      <c r="B108" s="2">
        <f>IF(OR(report!B108="",report!B109=""),NA(),report!B108/report!B109-1)</f>
        <v>6.7121132669113903E-2</v>
      </c>
      <c r="C108" s="2">
        <f>IF(OR(report!D108="",report!D109=""),NA(),report!D108/report!D109-1)</f>
        <v>0.13017751479289941</v>
      </c>
      <c r="D108" s="2">
        <f>IF(OR(report!F108="",report!F109=""),NA(),report!F108/report!F109-1)</f>
        <v>-0.10344827586206895</v>
      </c>
      <c r="E108" s="2">
        <f>IF(OR(report!H108="",report!H109=""),NA(),report!H108/report!H109-1)</f>
        <v>-6.4379416950506196E-2</v>
      </c>
      <c r="F108" s="2">
        <f>IF(OR(report!J108="",report!J109=""),NA(),report!J108/report!J109-1)</f>
        <v>6.7437886157486693E-2</v>
      </c>
      <c r="G108" s="2">
        <f>IF(OR(report!L108="",report!L109=""),NA(),report!L108/report!L109-1)</f>
        <v>-3.1042128603104291E-2</v>
      </c>
      <c r="H108" s="2">
        <f>IF(OR(report!N108="",report!N109=""),NA(),report!N108/report!N109-1)</f>
        <v>2.8737300435413449E-2</v>
      </c>
      <c r="I108" s="2">
        <f>IF(OR(report!P108="",report!P109=""),NA(),report!P108/report!P109-1)</f>
        <v>0.10274914375333521</v>
      </c>
      <c r="J108" s="2">
        <f>IF(OR(report!R108="",report!R109=""),NA(),report!R108/report!R109-1)</f>
        <v>-2.4908746789238934E-2</v>
      </c>
      <c r="K108" s="2">
        <f>IF(OR(report!T108="",report!T109=""),NA(),report!T108/report!T109-1)</f>
        <v>9.5682210708117443E-2</v>
      </c>
      <c r="L108" s="2">
        <f>IF(OR(report!V108="",report!V109=""),NA(),report!V108/report!V109-1)</f>
        <v>5.9992723965507366E-3</v>
      </c>
    </row>
    <row r="109" spans="1:12" x14ac:dyDescent="0.75">
      <c r="A109" s="1">
        <f>report!A109</f>
        <v>42034.041250000002</v>
      </c>
      <c r="B109" s="2">
        <f>IF(OR(report!B109="",report!B110=""),NA(),report!B109/report!B110-1)</f>
        <v>-9.6636665087636131E-2</v>
      </c>
      <c r="C109" s="2">
        <f>IF(OR(report!D109="",report!D110=""),NA(),report!D109/report!D110-1)</f>
        <v>-0.12175204157386788</v>
      </c>
      <c r="D109" s="2">
        <f>IF(OR(report!F109="",report!F110=""),NA(),report!F109/report!F110-1)</f>
        <v>9.1344062635927425E-3</v>
      </c>
      <c r="E109" s="2">
        <f>IF(OR(report!H109="",report!H110=""),NA(),report!H109/report!H110-1)</f>
        <v>-2.2200290468428419E-2</v>
      </c>
      <c r="F109" s="2">
        <f>IF(OR(report!J109="",report!J110=""),NA(),report!J109/report!J110-1)</f>
        <v>-6.3061953442542285E-2</v>
      </c>
      <c r="G109" s="2">
        <f>IF(OR(report!L109="",report!L110=""),NA(),report!L109/report!L110-1)</f>
        <v>-0.11341669852017677</v>
      </c>
      <c r="H109" s="2">
        <f>IF(OR(report!N109="",report!N110=""),NA(),report!N109/report!N110-1)</f>
        <v>-7.912322908313274E-2</v>
      </c>
      <c r="I109" s="2">
        <f>IF(OR(report!P109="",report!P110=""),NA(),report!P109/report!P110-1)</f>
        <v>-4.433499558486198E-2</v>
      </c>
      <c r="J109" s="2">
        <f>IF(OR(report!R109="",report!R110=""),NA(),report!R109/report!R110-1)</f>
        <v>-6.873977086743055E-2</v>
      </c>
      <c r="K109" s="2">
        <f>IF(OR(report!T109="",report!T110=""),NA(),report!T109/report!T110-1)</f>
        <v>-0.20880021863897247</v>
      </c>
      <c r="L109" s="2">
        <f>IF(OR(report!V109="",report!V110=""),NA(),report!V109/report!V110-1)</f>
        <v>1.7322061882900863E-2</v>
      </c>
    </row>
    <row r="110" spans="1:12" x14ac:dyDescent="0.75">
      <c r="A110" s="1">
        <f>report!A110</f>
        <v>42062.041250000002</v>
      </c>
      <c r="B110" s="2">
        <f>IF(OR(report!B110="",report!B111=""),NA(),report!B110/report!B111-1)</f>
        <v>-2.4040684234858944E-2</v>
      </c>
      <c r="C110" s="2">
        <f>IF(OR(report!D110="",report!D111=""),NA(),report!D110/report!D111-1)</f>
        <v>4.7433903576983072E-2</v>
      </c>
      <c r="D110" s="2">
        <f>IF(OR(report!F110="",report!F111=""),NA(),report!F110/report!F111-1)</f>
        <v>2.6339285714285676E-2</v>
      </c>
      <c r="E110" s="2">
        <f>IF(OR(report!H110="",report!H111=""),NA(),report!H110/report!H111-1)</f>
        <v>1.3499996588408392E-2</v>
      </c>
      <c r="F110" s="2">
        <f>IF(OR(report!J110="",report!J111=""),NA(),report!J110/report!J111-1)</f>
        <v>-8.2806145503840911E-2</v>
      </c>
      <c r="G110" s="2">
        <f>IF(OR(report!L110="",report!L111=""),NA(),report!L110/report!L111-1)</f>
        <v>-5.42759760380086E-2</v>
      </c>
      <c r="H110" s="2">
        <f>IF(OR(report!N110="",report!N111=""),NA(),report!N110/report!N111-1)</f>
        <v>-4.8091603053435183E-2</v>
      </c>
      <c r="I110" s="2">
        <f>IF(OR(report!P110="",report!P111=""),NA(),report!P110/report!P111-1)</f>
        <v>-4.784238495765003E-2</v>
      </c>
      <c r="J110" s="2">
        <f>IF(OR(report!R110="",report!R111=""),NA(),report!R110/report!R111-1)</f>
        <v>0.19704619094265685</v>
      </c>
      <c r="K110" s="2">
        <f>IF(OR(report!T110="",report!T111=""),NA(),report!T110/report!T111-1)</f>
        <v>-3.9884544738913563E-2</v>
      </c>
      <c r="L110" s="2">
        <f>IF(OR(report!V110="",report!V111=""),NA(),report!V110/report!V111-1)</f>
        <v>1.1239953963122717E-2</v>
      </c>
    </row>
    <row r="111" spans="1:12" x14ac:dyDescent="0.75">
      <c r="A111" s="1">
        <f>report!A111</f>
        <v>42094.041250000002</v>
      </c>
      <c r="B111" s="2">
        <f>IF(OR(report!B111="",report!B112=""),NA(),report!B111/report!B112-1)</f>
        <v>4.9999999999999822E-2</v>
      </c>
      <c r="C111" s="2">
        <f>IF(OR(report!D111="",report!D112=""),NA(),report!D111/report!D112-1)</f>
        <v>-5.9941520467836296E-2</v>
      </c>
      <c r="D111" s="2">
        <f>IF(OR(report!F111="",report!F112=""),NA(),report!F111/report!F112-1)</f>
        <v>-2.6086956521739091E-2</v>
      </c>
      <c r="E111" s="2">
        <f>IF(OR(report!H111="",report!H112=""),NA(),report!H111/report!H112-1)</f>
        <v>-8.4500597112844078E-2</v>
      </c>
      <c r="F111" s="2">
        <f>IF(OR(report!J111="",report!J112=""),NA(),report!J111/report!J112-1)</f>
        <v>1.1888431641517982E-2</v>
      </c>
      <c r="G111" s="2">
        <f>IF(OR(report!L111="",report!L112=""),NA(),report!L111/report!L112-1)</f>
        <v>4.6759284285637026E-2</v>
      </c>
      <c r="H111" s="2">
        <f>IF(OR(report!N111="",report!N112=""),NA(),report!N111/report!N112-1)</f>
        <v>-5.8682634730539029E-2</v>
      </c>
      <c r="I111" s="2">
        <f>IF(OR(report!P111="",report!P112=""),NA(),report!P111/report!P112-1)</f>
        <v>-6.0240974817813098E-2</v>
      </c>
      <c r="J111" s="2">
        <f>IF(OR(report!R111="",report!R112=""),NA(),report!R111/report!R112-1)</f>
        <v>2.0022289689097361E-2</v>
      </c>
      <c r="K111" s="2">
        <f>IF(OR(report!T111="",report!T112=""),NA(),report!T111/report!T112-1)</f>
        <v>5.1600441501103766E-2</v>
      </c>
      <c r="L111" s="2">
        <f>IF(OR(report!V111="",report!V112=""),NA(),report!V111/report!V112-1)</f>
        <v>-2.0048823751329992E-2</v>
      </c>
    </row>
    <row r="112" spans="1:12" x14ac:dyDescent="0.75">
      <c r="A112" s="1">
        <f>report!A112</f>
        <v>42124.041250000002</v>
      </c>
      <c r="B112" s="2">
        <f>IF(OR(report!B112="",report!B113=""),NA(),report!B112/report!B113-1)</f>
        <v>-1.1516314779270509E-2</v>
      </c>
      <c r="C112" s="2">
        <f>IF(OR(report!D112="",report!D113=""),NA(),report!D112/report!D113-1)</f>
        <v>2.6256564141035277E-2</v>
      </c>
      <c r="D112" s="2">
        <f>IF(OR(report!F112="",report!F113=""),NA(),report!F112/report!F113-1)</f>
        <v>-7.999999999999996E-2</v>
      </c>
      <c r="E112" s="2">
        <f>IF(OR(report!H112="",report!H113=""),NA(),report!H112/report!H113-1)</f>
        <v>-2.7063968327798227E-2</v>
      </c>
      <c r="F112" s="2">
        <f>IF(OR(report!J112="",report!J113=""),NA(),report!J112/report!J113-1)</f>
        <v>6.3269297135626346E-3</v>
      </c>
      <c r="G112" s="2">
        <f>IF(OR(report!L112="",report!L113=""),NA(),report!L112/report!L113-1)</f>
        <v>-9.0242942854332653E-2</v>
      </c>
      <c r="H112" s="2">
        <f>IF(OR(report!N112="",report!N113=""),NA(),report!N112/report!N113-1)</f>
        <v>4.6365914786967499E-2</v>
      </c>
      <c r="I112" s="2">
        <f>IF(OR(report!P112="",report!P113=""),NA(),report!P112/report!P113-1)</f>
        <v>-2.1564109766874839E-2</v>
      </c>
      <c r="J112" s="2">
        <f>IF(OR(report!R112="",report!R113=""),NA(),report!R112/report!R113-1)</f>
        <v>-4.1371942234011305E-2</v>
      </c>
      <c r="K112" s="2">
        <f>IF(OR(report!T112="",report!T113=""),NA(),report!T112/report!T113-1)</f>
        <v>-4.6817464492372451E-2</v>
      </c>
      <c r="L112" s="2">
        <f>IF(OR(report!V112="",report!V113=""),NA(),report!V112/report!V113-1)</f>
        <v>-2.4959776876974926E-3</v>
      </c>
    </row>
    <row r="113" spans="1:12" x14ac:dyDescent="0.75">
      <c r="A113" s="1">
        <f>report!A113</f>
        <v>42153.041250000002</v>
      </c>
      <c r="B113" s="2">
        <f>IF(OR(report!B113="",report!B114=""),NA(),report!B113/report!B114-1)</f>
        <v>2.5086079685194385E-2</v>
      </c>
      <c r="C113" s="2">
        <f>IF(OR(report!D113="",report!D114=""),NA(),report!D113/report!D114-1)</f>
        <v>5.3629646198194436E-4</v>
      </c>
      <c r="D113" s="2">
        <f>IF(OR(report!F113="",report!F114=""),NA(),report!F113/report!F114-1)</f>
        <v>2.0408163265306145E-2</v>
      </c>
      <c r="E113" s="2">
        <f>IF(OR(report!H113="",report!H114=""),NA(),report!H113/report!H114-1)</f>
        <v>1.7081328121892669E-2</v>
      </c>
      <c r="F113" s="2">
        <f>IF(OR(report!J113="",report!J114=""),NA(),report!J113/report!J114-1)</f>
        <v>8.0009276437849053E-3</v>
      </c>
      <c r="G113" s="2">
        <f>IF(OR(report!L113="",report!L114=""),NA(),report!L113/report!L114-1)</f>
        <v>6.7831856216269415E-3</v>
      </c>
      <c r="H113" s="2">
        <f>IF(OR(report!N113="",report!N114=""),NA(),report!N113/report!N114-1)</f>
        <v>-8.4493041749503783E-3</v>
      </c>
      <c r="I113" s="2">
        <f>IF(OR(report!P113="",report!P114=""),NA(),report!P113/report!P114-1)</f>
        <v>2.5353764492751951E-2</v>
      </c>
      <c r="J113" s="2">
        <f>IF(OR(report!R113="",report!R114=""),NA(),report!R113/report!R114-1)</f>
        <v>6.0519632740769769E-2</v>
      </c>
      <c r="K113" s="2">
        <f>IF(OR(report!T113="",report!T114=""),NA(),report!T113/report!T114-1)</f>
        <v>-5.4930682709911638E-3</v>
      </c>
      <c r="L113" s="2">
        <f>IF(OR(report!V113="",report!V114=""),NA(),report!V113/report!V114-1)</f>
        <v>-1.2522723282856751E-2</v>
      </c>
    </row>
    <row r="114" spans="1:12" x14ac:dyDescent="0.75">
      <c r="A114" s="1">
        <f>report!A114</f>
        <v>42185.041250000002</v>
      </c>
      <c r="B114" s="2">
        <f>IF(OR(report!B114="",report!B115=""),NA(),report!B114/report!B115-1)</f>
        <v>-5.9449456396021283E-2</v>
      </c>
      <c r="C114" s="2">
        <f>IF(OR(report!D114="",report!D115=""),NA(),report!D114/report!D115-1)</f>
        <v>4.9870370370370454E-2</v>
      </c>
      <c r="D114" s="2">
        <f>IF(OR(report!F114="",report!F115=""),NA(),report!F114/report!F115-1)</f>
        <v>-2.0000000000000018E-2</v>
      </c>
      <c r="E114" s="2">
        <f>IF(OR(report!H114="",report!H115=""),NA(),report!H114/report!H115-1)</f>
        <v>-0.15307807553094988</v>
      </c>
      <c r="F114" s="2">
        <f>IF(OR(report!J114="",report!J115=""),NA(),report!J114/report!J115-1)</f>
        <v>1.6981132075471583E-2</v>
      </c>
      <c r="G114" s="2">
        <f>IF(OR(report!L114="",report!L115=""),NA(),report!L114/report!L115-1)</f>
        <v>-4.3294964710340667E-2</v>
      </c>
      <c r="H114" s="2">
        <f>IF(OR(report!N114="",report!N115=""),NA(),report!N114/report!N115-1)</f>
        <v>-7.2383586906408448E-2</v>
      </c>
      <c r="I114" s="2">
        <f>IF(OR(report!P114="",report!P115=""),NA(),report!P114/report!P115-1)</f>
        <v>-9.2320039623950079E-2</v>
      </c>
      <c r="J114" s="2">
        <f>IF(OR(report!R114="",report!R115=""),NA(),report!R114/report!R115-1)</f>
        <v>4.6530645622929967E-2</v>
      </c>
      <c r="K114" s="2">
        <f>IF(OR(report!T114="",report!T115=""),NA(),report!T114/report!T115-1)</f>
        <v>-2.3249872253449211E-2</v>
      </c>
      <c r="L114" s="2">
        <f>IF(OR(report!V114="",report!V115=""),NA(),report!V114/report!V115-1)</f>
        <v>-1.2458594415672208E-2</v>
      </c>
    </row>
    <row r="115" spans="1:12" x14ac:dyDescent="0.75">
      <c r="A115" s="1">
        <f>report!A115</f>
        <v>42216.041250000002</v>
      </c>
      <c r="B115" s="2">
        <f>IF(OR(report!B115="",report!B116=""),NA(),report!B115/report!B116-1)</f>
        <v>3.4818941504177747E-3</v>
      </c>
      <c r="C115" s="2">
        <f>IF(OR(report!D115="",report!D116=""),NA(),report!D115/report!D116-1)</f>
        <v>4.5304777594728174E-2</v>
      </c>
      <c r="D115" s="2">
        <f>IF(OR(report!F115="",report!F116=""),NA(),report!F115/report!F116-1)</f>
        <v>-3.0932630436467989E-2</v>
      </c>
      <c r="E115" s="2">
        <f>IF(OR(report!H115="",report!H116=""),NA(),report!H115/report!H116-1)</f>
        <v>-9.3959252045422992E-2</v>
      </c>
      <c r="F115" s="2">
        <f>IF(OR(report!J115="",report!J116=""),NA(),report!J115/report!J116-1)</f>
        <v>5.4595199602039512E-2</v>
      </c>
      <c r="G115" s="2">
        <f>IF(OR(report!L115="",report!L116=""),NA(),report!L115/report!L116-1)</f>
        <v>-6.2233475479744116E-2</v>
      </c>
      <c r="H115" s="2">
        <f>IF(OR(report!N115="",report!N116=""),NA(),report!N115/report!N116-1)</f>
        <v>5.8565153733528774E-2</v>
      </c>
      <c r="I115" s="2">
        <f>IF(OR(report!P115="",report!P116=""),NA(),report!P115/report!P116-1)</f>
        <v>-4.7936068279402777E-3</v>
      </c>
      <c r="J115" s="2">
        <f>IF(OR(report!R115="",report!R116=""),NA(),report!R115/report!R116-1)</f>
        <v>2.5794815871151844E-2</v>
      </c>
      <c r="K115" s="2">
        <f>IF(OR(report!T115="",report!T116=""),NA(),report!T115/report!T116-1)</f>
        <v>-2.4669823075006314E-2</v>
      </c>
      <c r="L115" s="2">
        <f>IF(OR(report!V115="",report!V116=""),NA(),report!V115/report!V116-1)</f>
        <v>-3.2039899305658093E-4</v>
      </c>
    </row>
    <row r="116" spans="1:12" x14ac:dyDescent="0.75">
      <c r="A116" s="1">
        <f>report!A116</f>
        <v>42247.041250000002</v>
      </c>
      <c r="B116" s="2">
        <f>IF(OR(report!B116="",report!B117=""),NA(),report!B116/report!B117-1)</f>
        <v>6.3069376313944492E-3</v>
      </c>
      <c r="C116" s="2">
        <f>IF(OR(report!D116="",report!D117=""),NA(),report!D116/report!D117-1)</f>
        <v>0.11376146788990837</v>
      </c>
      <c r="D116" s="2">
        <f>IF(OR(report!F116="",report!F117=""),NA(),report!F116/report!F117-1)</f>
        <v>-1.9012852688417348E-2</v>
      </c>
      <c r="E116" s="2">
        <f>IF(OR(report!H116="",report!H117=""),NA(),report!H116/report!H117-1)</f>
        <v>-4.5163924903895647E-2</v>
      </c>
      <c r="F116" s="2">
        <f>IF(OR(report!J116="",report!J117=""),NA(),report!J116/report!J117-1)</f>
        <v>-2.886473429951697E-2</v>
      </c>
      <c r="G116" s="2">
        <f>IF(OR(report!L116="",report!L117=""),NA(),report!L116/report!L117-1)</f>
        <v>-4.1226575809199306E-2</v>
      </c>
      <c r="H116" s="2">
        <f>IF(OR(report!N116="",report!N117=""),NA(),report!N116/report!N117-1)</f>
        <v>-8.3426526504137843E-2</v>
      </c>
      <c r="I116" s="2">
        <f>IF(OR(report!P116="",report!P117=""),NA(),report!P116/report!P117-1)</f>
        <v>-2.731561643808933E-2</v>
      </c>
      <c r="J116" s="2">
        <f>IF(OR(report!R116="",report!R117=""),NA(),report!R116/report!R117-1)</f>
        <v>3.4674304561038038E-2</v>
      </c>
      <c r="K116" s="2">
        <f>IF(OR(report!T116="",report!T117=""),NA(),report!T116/report!T117-1)</f>
        <v>-3.324500120452889E-2</v>
      </c>
      <c r="L116" s="2">
        <f>IF(OR(report!V116="",report!V117=""),NA(),report!V116/report!V117-1)</f>
        <v>-3.0363791029497378E-4</v>
      </c>
    </row>
    <row r="117" spans="1:12" x14ac:dyDescent="0.75">
      <c r="A117" s="1">
        <f>report!A117</f>
        <v>42277.041250000002</v>
      </c>
      <c r="B117" s="2">
        <f>IF(OR(report!B117="",report!B118=""),NA(),report!B117/report!B118-1)</f>
        <v>-8.6622573074461195E-2</v>
      </c>
      <c r="C117" s="2">
        <f>IF(OR(report!D117="",report!D118=""),NA(),report!D117/report!D118-1)</f>
        <v>0.12603305785123964</v>
      </c>
      <c r="D117" s="2">
        <f>IF(OR(report!F117="",report!F118=""),NA(),report!F117/report!F118-1)</f>
        <v>-4.0218978102189662E-2</v>
      </c>
      <c r="E117" s="2">
        <f>IF(OR(report!H117="",report!H118=""),NA(),report!H117/report!H118-1)</f>
        <v>-1.1763124010995107E-2</v>
      </c>
      <c r="F117" s="2">
        <f>IF(OR(report!J117="",report!J118=""),NA(),report!J117/report!J118-1)</f>
        <v>-6.9139966273187192E-2</v>
      </c>
      <c r="G117" s="2">
        <f>IF(OR(report!L117="",report!L118=""),NA(),report!L117/report!L118-1)</f>
        <v>-7.8854452726559443E-2</v>
      </c>
      <c r="H117" s="2">
        <f>IF(OR(report!N117="",report!N118=""),NA(),report!N117/report!N118-1)</f>
        <v>-2.1234676007005238E-2</v>
      </c>
      <c r="I117" s="2">
        <f>IF(OR(report!P117="",report!P118=""),NA(),report!P117/report!P118-1)</f>
        <v>-4.0893123225133721E-2</v>
      </c>
      <c r="J117" s="2">
        <f>IF(OR(report!R117="",report!R118=""),NA(),report!R117/report!R118-1)</f>
        <v>4.9316939890710509E-2</v>
      </c>
      <c r="K117" s="2">
        <f>IF(OR(report!T117="",report!T118=""),NA(),report!T117/report!T118-1)</f>
        <v>-4.7498852684717763E-2</v>
      </c>
      <c r="L117" s="2">
        <f>IF(OR(report!V117="",report!V118=""),NA(),report!V117/report!V118-1)</f>
        <v>4.4268429178524471E-3</v>
      </c>
    </row>
    <row r="118" spans="1:12" x14ac:dyDescent="0.75">
      <c r="A118" s="1">
        <f>report!A118</f>
        <v>42307.041250000002</v>
      </c>
      <c r="B118" s="2">
        <f>IF(OR(report!B118="",report!B119=""),NA(),report!B118/report!B119-1)</f>
        <v>2.1578029642545626E-2</v>
      </c>
      <c r="C118" s="2">
        <f>IF(OR(report!D118="",report!D119=""),NA(),report!D118/report!D119-1)</f>
        <v>-4.115226337448652E-3</v>
      </c>
      <c r="D118" s="2">
        <f>IF(OR(report!F118="",report!F119=""),NA(),report!F118/report!F119-1)</f>
        <v>-2.8368794326241176E-2</v>
      </c>
      <c r="E118" s="2">
        <f>IF(OR(report!H118="",report!H119=""),NA(),report!H118/report!H119-1)</f>
        <v>-1.3461535358929577E-2</v>
      </c>
      <c r="F118" s="2">
        <f>IF(OR(report!J118="",report!J119=""),NA(),report!J118/report!J119-1)</f>
        <v>-6.0341937646664068E-3</v>
      </c>
      <c r="G118" s="2">
        <f>IF(OR(report!L118="",report!L119=""),NA(),report!L118/report!L119-1)</f>
        <v>5.6405155621865877E-2</v>
      </c>
      <c r="H118" s="2">
        <f>IF(OR(report!N118="",report!N119=""),NA(),report!N118/report!N119-1)</f>
        <v>1.8960517510595576E-2</v>
      </c>
      <c r="I118" s="2">
        <f>IF(OR(report!P118="",report!P119=""),NA(),report!P118/report!P119-1)</f>
        <v>8.3530775899767207E-3</v>
      </c>
      <c r="J118" s="2">
        <f>IF(OR(report!R118="",report!R119=""),NA(),report!R118/report!R119-1)</f>
        <v>5.8721434770031777E-2</v>
      </c>
      <c r="K118" s="2">
        <f>IF(OR(report!T118="",report!T119=""),NA(),report!T118/report!T119-1)</f>
        <v>-6.8368277119417176E-3</v>
      </c>
      <c r="L118" s="2">
        <f>IF(OR(report!V118="",report!V119=""),NA(),report!V118/report!V119-1)</f>
        <v>1.5231150857439202E-2</v>
      </c>
    </row>
    <row r="119" spans="1:12" x14ac:dyDescent="0.75">
      <c r="A119" s="1">
        <f>report!A119</f>
        <v>42338.041250000002</v>
      </c>
      <c r="B119" s="2">
        <f>IF(OR(report!B119="",report!B120=""),NA(),report!B119/report!B120-1)</f>
        <v>-1.523394994559335E-3</v>
      </c>
      <c r="C119" s="2">
        <f>IF(OR(report!D119="",report!D120=""),NA(),report!D119/report!D120-1)</f>
        <v>0.1146788990825689</v>
      </c>
      <c r="D119" s="2">
        <f>IF(OR(report!F119="",report!F120=""),NA(),report!F119/report!F120-1)</f>
        <v>1.1405207660856398E-2</v>
      </c>
      <c r="E119" s="2">
        <f>IF(OR(report!H119="",report!H120=""),NA(),report!H119/report!H120-1)</f>
        <v>-8.220983753257971E-3</v>
      </c>
      <c r="F119" s="2">
        <f>IF(OR(report!J119="",report!J120=""),NA(),report!J119/report!J120-1)</f>
        <v>-5.7900831666491182E-2</v>
      </c>
      <c r="G119" s="2">
        <f>IF(OR(report!L119="",report!L120=""),NA(),report!L119/report!L120-1)</f>
        <v>-1.9027921406411519E-3</v>
      </c>
      <c r="H119" s="2">
        <f>IF(OR(report!N119="",report!N120=""),NA(),report!N119/report!N120-1)</f>
        <v>1.3401831583648161E-3</v>
      </c>
      <c r="I119" s="2">
        <f>IF(OR(report!P119="",report!P120=""),NA(),report!P119/report!P120-1)</f>
        <v>-2.9725033707766135E-2</v>
      </c>
      <c r="J119" s="2">
        <f>IF(OR(report!R119="",report!R120=""),NA(),report!R119/report!R120-1)</f>
        <v>0.17040966030922022</v>
      </c>
      <c r="K119" s="2">
        <f>IF(OR(report!T119="",report!T120=""),NA(),report!T119/report!T120-1)</f>
        <v>8.9675787537364382E-3</v>
      </c>
      <c r="L119" s="2">
        <f>IF(OR(report!V119="",report!V120=""),NA(),report!V119/report!V120-1)</f>
        <v>9.0828347093463435E-4</v>
      </c>
    </row>
    <row r="120" spans="1:12" x14ac:dyDescent="0.75">
      <c r="A120" s="1">
        <f>report!A120</f>
        <v>42369.041250000002</v>
      </c>
      <c r="B120" s="2">
        <f>IF(OR(report!B120="",report!B121=""),NA(),report!B120/report!B121-1)</f>
        <v>-9.2972759573627939E-2</v>
      </c>
      <c r="C120" s="2">
        <f>IF(OR(report!D120="",report!D121=""),NA(),report!D120/report!D121-1)</f>
        <v>0.15039577836411611</v>
      </c>
      <c r="D120" s="2">
        <f>IF(OR(report!F120="",report!F121=""),NA(),report!F120/report!F121-1)</f>
        <v>1.4407334643090852E-2</v>
      </c>
      <c r="E120" s="2">
        <f>IF(OR(report!H120="",report!H121=""),NA(),report!H120/report!H121-1)</f>
        <v>-1.9036381546215786E-3</v>
      </c>
      <c r="F120" s="2">
        <f>IF(OR(report!J120="",report!J121=""),NA(),report!J120/report!J121-1)</f>
        <v>3.8042903941668538E-3</v>
      </c>
      <c r="G120" s="2">
        <f>IF(OR(report!L120="",report!L121=""),NA(),report!L120/report!L121-1)</f>
        <v>-0.12026928675400295</v>
      </c>
      <c r="H120" s="2">
        <f>IF(OR(report!N120="",report!N121=""),NA(),report!N120/report!N121-1)</f>
        <v>3.2994923857867953E-2</v>
      </c>
      <c r="I120" s="2">
        <f>IF(OR(report!P120="",report!P121=""),NA(),report!P120/report!P121-1)</f>
        <v>-6.8957554625229456E-2</v>
      </c>
      <c r="J120" s="2">
        <f>IF(OR(report!R120="",report!R121=""),NA(),report!R120/report!R121-1)</f>
        <v>3.0408744694458978E-2</v>
      </c>
      <c r="K120" s="2">
        <f>IF(OR(report!T120="",report!T121=""),NA(),report!T120/report!T121-1)</f>
        <v>-4.5853444493198725E-2</v>
      </c>
      <c r="L120" s="2">
        <f>IF(OR(report!V120="",report!V121=""),NA(),report!V120/report!V121-1)</f>
        <v>2.6025280665482597E-3</v>
      </c>
    </row>
    <row r="121" spans="1:12" x14ac:dyDescent="0.75">
      <c r="A121" s="1">
        <f>report!A121</f>
        <v>42398.041250000002</v>
      </c>
      <c r="B121" s="2">
        <f>IF(OR(report!B121="",report!B122=""),NA(),report!B121/report!B122-1)</f>
        <v>-1.6310679611650558E-2</v>
      </c>
      <c r="C121" s="2">
        <f>IF(OR(report!D121="",report!D122=""),NA(),report!D121/report!D122-1)</f>
        <v>-0.18054054054054058</v>
      </c>
      <c r="D121" s="2">
        <f>IF(OR(report!F121="",report!F122=""),NA(),report!F121/report!F122-1)</f>
        <v>-4.1304347826086607E-3</v>
      </c>
      <c r="E121" s="2">
        <f>IF(OR(report!H121="",report!H122=""),NA(),report!H121/report!H122-1)</f>
        <v>6.2787781254566966E-2</v>
      </c>
      <c r="F121" s="2">
        <f>IF(OR(report!J121="",report!J122=""),NA(),report!J121/report!J122-1)</f>
        <v>3.2853088845230305E-2</v>
      </c>
      <c r="G121" s="2">
        <f>IF(OR(report!L121="",report!L122=""),NA(),report!L121/report!L122-1)</f>
        <v>-5.670740079637504E-2</v>
      </c>
      <c r="H121" s="2">
        <f>IF(OR(report!N121="",report!N122=""),NA(),report!N121/report!N122-1)</f>
        <v>0.13070701800156548</v>
      </c>
      <c r="I121" s="2">
        <f>IF(OR(report!P121="",report!P122=""),NA(),report!P121/report!P122-1)</f>
        <v>8.9447231358217971E-2</v>
      </c>
      <c r="J121" s="2">
        <f>IF(OR(report!R121="",report!R122=""),NA(),report!R121/report!R122-1)</f>
        <v>-0.19306559069156415</v>
      </c>
      <c r="K121" s="2">
        <f>IF(OR(report!T121="",report!T122=""),NA(),report!T121/report!T122-1)</f>
        <v>6.7447306791569073E-2</v>
      </c>
      <c r="L121" s="2">
        <f>IF(OR(report!V121="",report!V122=""),NA(),report!V121/report!V122-1)</f>
        <v>-1.3427980680421725E-2</v>
      </c>
    </row>
    <row r="122" spans="1:12" x14ac:dyDescent="0.75">
      <c r="A122" s="1">
        <f>report!A122</f>
        <v>42429.041250000002</v>
      </c>
      <c r="B122" s="2">
        <f>IF(OR(report!B122="",report!B123=""),NA(),report!B122/report!B123-1)</f>
        <v>8.4198159389072824E-3</v>
      </c>
      <c r="C122" s="2">
        <f>IF(OR(report!D122="",report!D123=""),NA(),report!D122/report!D123-1)</f>
        <v>-0.20258620689655171</v>
      </c>
      <c r="D122" s="2">
        <f>IF(OR(report!F122="",report!F123=""),NA(),report!F122/report!F123-1)</f>
        <v>1.098901098901095E-2</v>
      </c>
      <c r="E122" s="2">
        <f>IF(OR(report!H122="",report!H123=""),NA(),report!H122/report!H123-1)</f>
        <v>-7.0066171261286669E-2</v>
      </c>
      <c r="F122" s="2">
        <f>IF(OR(report!J122="",report!J123=""),NA(),report!J122/report!J123-1)</f>
        <v>-5.9632556707379658E-2</v>
      </c>
      <c r="G122" s="2">
        <f>IF(OR(report!L122="",report!L123=""),NA(),report!L122/report!L123-1)</f>
        <v>6.4338168134156604E-2</v>
      </c>
      <c r="H122" s="2">
        <f>IF(OR(report!N122="",report!N123=""),NA(),report!N122/report!N123-1)</f>
        <v>5.7727630543165098E-3</v>
      </c>
      <c r="I122" s="2">
        <f>IF(OR(report!P122="",report!P123=""),NA(),report!P122/report!P123-1)</f>
        <v>-4.2578779805854561E-2</v>
      </c>
      <c r="J122" s="2">
        <f>IF(OR(report!R122="",report!R123=""),NA(),report!R122/report!R123-1)</f>
        <v>-1.8827970354002632E-2</v>
      </c>
      <c r="K122" s="2">
        <f>IF(OR(report!T122="",report!T123=""),NA(),report!T122/report!T123-1)</f>
        <v>4.1463414634146378E-2</v>
      </c>
      <c r="L122" s="2">
        <f>IF(OR(report!V122="",report!V123=""),NA(),report!V122/report!V123-1)</f>
        <v>-1.2099225138939573E-4</v>
      </c>
    </row>
    <row r="123" spans="1:12" x14ac:dyDescent="0.75">
      <c r="A123" s="1">
        <f>report!A123</f>
        <v>42460.041250000002</v>
      </c>
      <c r="B123" s="2">
        <f>IF(OR(report!B123="",report!B124=""),NA(),report!B123/report!B124-1)</f>
        <v>-2.6310772163965712E-2</v>
      </c>
      <c r="C123" s="2">
        <f>IF(OR(report!D123="",report!D124=""),NA(),report!D123/report!D124-1)</f>
        <v>-5.5374592833876246E-2</v>
      </c>
      <c r="D123" s="2">
        <f>IF(OR(report!F123="",report!F124=""),NA(),report!F123/report!F124-1)</f>
        <v>-0.10197368421052633</v>
      </c>
      <c r="E123" s="2">
        <f>IF(OR(report!H123="",report!H124=""),NA(),report!H123/report!H124-1)</f>
        <v>-4.910549167903655E-2</v>
      </c>
      <c r="F123" s="2">
        <f>IF(OR(report!J123="",report!J124=""),NA(),report!J123/report!J124-1)</f>
        <v>-2.4572540186341696E-3</v>
      </c>
      <c r="G123" s="2">
        <f>IF(OR(report!L123="",report!L124=""),NA(),report!L123/report!L124-1)</f>
        <v>8.9046273823260025E-2</v>
      </c>
      <c r="H123" s="2">
        <f>IF(OR(report!N123="",report!N124=""),NA(),report!N123/report!N124-1)</f>
        <v>7.8781512605052839E-4</v>
      </c>
      <c r="I123" s="2">
        <f>IF(OR(report!P123="",report!P124=""),NA(),report!P123/report!P124-1)</f>
        <v>2.0874265617265353E-2</v>
      </c>
      <c r="J123" s="2">
        <f>IF(OR(report!R123="",report!R124=""),NA(),report!R123/report!R124-1)</f>
        <v>-0.19230340211935304</v>
      </c>
      <c r="K123" s="2">
        <f>IF(OR(report!T123="",report!T124=""),NA(),report!T123/report!T124-1)</f>
        <v>-3.6427732079905906E-2</v>
      </c>
      <c r="L123" s="2">
        <f>IF(OR(report!V123="",report!V124=""),NA(),report!V123/report!V124-1)</f>
        <v>2.3205660374610027E-3</v>
      </c>
    </row>
    <row r="124" spans="1:12" x14ac:dyDescent="0.75">
      <c r="A124" s="1">
        <f>report!A124</f>
        <v>42489.041250000002</v>
      </c>
      <c r="B124" s="2">
        <f>IF(OR(report!B124="",report!B125=""),NA(),report!B124/report!B125-1)</f>
        <v>-3.6022789928321863E-2</v>
      </c>
      <c r="C124" s="2">
        <f>IF(OR(report!D124="",report!D125=""),NA(),report!D124/report!D125-1)</f>
        <v>8.8652482269503619E-2</v>
      </c>
      <c r="D124" s="2">
        <f>IF(OR(report!F124="",report!F125=""),NA(),report!F124/report!F125-1)</f>
        <v>-1.2987012987012991E-2</v>
      </c>
      <c r="E124" s="2">
        <f>IF(OR(report!H124="",report!H125=""),NA(),report!H124/report!H125-1)</f>
        <v>-0.14800349976601357</v>
      </c>
      <c r="F124" s="2">
        <f>IF(OR(report!J124="",report!J125=""),NA(),report!J124/report!J125-1)</f>
        <v>1.2019479846647974E-2</v>
      </c>
      <c r="G124" s="2">
        <f>IF(OR(report!L124="",report!L125=""),NA(),report!L124/report!L125-1)</f>
        <v>-5.2728780340720594E-2</v>
      </c>
      <c r="H124" s="2">
        <f>IF(OR(report!N124="",report!N125=""),NA(),report!N124/report!N125-1)</f>
        <v>-2.107969151670952E-2</v>
      </c>
      <c r="I124" s="2">
        <f>IF(OR(report!P124="",report!P125=""),NA(),report!P124/report!P125-1)</f>
        <v>-7.1167894729533776E-2</v>
      </c>
      <c r="J124" s="2">
        <f>IF(OR(report!R124="",report!R125=""),NA(),report!R124/report!R125-1)</f>
        <v>-8.6384944629390614E-2</v>
      </c>
      <c r="K124" s="2">
        <f>IF(OR(report!T124="",report!T125=""),NA(),report!T124/report!T125-1)</f>
        <v>-6.769374416433438E-3</v>
      </c>
      <c r="L124" s="2">
        <f>IF(OR(report!V124="",report!V125=""),NA(),report!V124/report!V125-1)</f>
        <v>-9.9099889175201517E-3</v>
      </c>
    </row>
    <row r="125" spans="1:12" x14ac:dyDescent="0.75">
      <c r="A125" s="1">
        <f>report!A125</f>
        <v>42521.041250000002</v>
      </c>
      <c r="B125" s="2">
        <f>IF(OR(report!B125="",report!B126=""),NA(),report!B125/report!B126-1)</f>
        <v>-4.9108703250611674E-2</v>
      </c>
      <c r="C125" s="2">
        <f>IF(OR(report!D125="",report!D126=""),NA(),report!D125/report!D126-1)</f>
        <v>3.7718491260349651E-2</v>
      </c>
      <c r="D125" s="2">
        <f>IF(OR(report!F125="",report!F126=""),NA(),report!F125/report!F126-1)</f>
        <v>5.6241426611796985E-2</v>
      </c>
      <c r="E125" s="2">
        <f>IF(OR(report!H125="",report!H126=""),NA(),report!H125/report!H126-1)</f>
        <v>-6.5488271339753101E-3</v>
      </c>
      <c r="F125" s="2">
        <f>IF(OR(report!J125="",report!J126=""),NA(),report!J125/report!J126-1)</f>
        <v>-5.8622707764338533E-2</v>
      </c>
      <c r="G125" s="2">
        <f>IF(OR(report!L125="",report!L126=""),NA(),report!L125/report!L126-1)</f>
        <v>5.7619408642910486E-3</v>
      </c>
      <c r="H125" s="2">
        <f>IF(OR(report!N125="",report!N126=""),NA(),report!N125/report!N126-1)</f>
        <v>-3.1374501992031845E-2</v>
      </c>
      <c r="I125" s="2">
        <f>IF(OR(report!P125="",report!P126=""),NA(),report!P125/report!P126-1)</f>
        <v>1.6461850645245857E-2</v>
      </c>
      <c r="J125" s="2">
        <f>IF(OR(report!R125="",report!R126=""),NA(),report!R125/report!R126-1)</f>
        <v>-0.32407237325495952</v>
      </c>
      <c r="K125" s="2">
        <f>IF(OR(report!T125="",report!T126=""),NA(),report!T125/report!T126-1)</f>
        <v>-2.4368025506718127E-2</v>
      </c>
      <c r="L125" s="2">
        <f>IF(OR(report!V125="",report!V126=""),NA(),report!V125/report!V126-1)</f>
        <v>-8.198365309365685E-3</v>
      </c>
    </row>
    <row r="126" spans="1:12" x14ac:dyDescent="0.75">
      <c r="A126" s="1">
        <f>report!A126</f>
        <v>42551.041250000002</v>
      </c>
      <c r="B126" s="2">
        <f>IF(OR(report!B126="",report!B127=""),NA(),report!B126/report!B127-1)</f>
        <v>2.379674360350692E-2</v>
      </c>
      <c r="C126" s="2">
        <f>IF(OR(report!D126="",report!D127=""),NA(),report!D126/report!D127-1)</f>
        <v>-0.20887918486171764</v>
      </c>
      <c r="D126" s="2">
        <f>IF(OR(report!F126="",report!F127=""),NA(),report!F126/report!F127-1)</f>
        <v>-1.8181818181818077E-2</v>
      </c>
      <c r="E126" s="2">
        <f>IF(OR(report!H126="",report!H127=""),NA(),report!H126/report!H127-1)</f>
        <v>1.8160134252225513E-2</v>
      </c>
      <c r="F126" s="2">
        <f>IF(OR(report!J126="",report!J127=""),NA(),report!J126/report!J127-1)</f>
        <v>-1.6554679131366434E-3</v>
      </c>
      <c r="G126" s="2">
        <f>IF(OR(report!L126="",report!L127=""),NA(),report!L126/report!L127-1)</f>
        <v>-2.1767345273853267E-2</v>
      </c>
      <c r="H126" s="2">
        <f>IF(OR(report!N126="",report!N127=""),NA(),report!N126/report!N127-1)</f>
        <v>3.3187548237715525E-2</v>
      </c>
      <c r="I126" s="2">
        <f>IF(OR(report!P126="",report!P127=""),NA(),report!P126/report!P127-1)</f>
        <v>1.7050179119754372E-2</v>
      </c>
      <c r="J126" s="2">
        <f>IF(OR(report!R126="",report!R127=""),NA(),report!R126/report!R127-1)</f>
        <v>-9.7255617278832585E-2</v>
      </c>
      <c r="K126" s="2">
        <f>IF(OR(report!T126="",report!T127=""),NA(),report!T126/report!T127-1)</f>
        <v>2.4737456242706957E-2</v>
      </c>
      <c r="L126" s="2">
        <f>IF(OR(report!V126="",report!V127=""),NA(),report!V126/report!V127-1)</f>
        <v>-1.0232765771344021E-2</v>
      </c>
    </row>
    <row r="127" spans="1:12" x14ac:dyDescent="0.75">
      <c r="A127" s="1">
        <f>report!A127</f>
        <v>42580.041250000002</v>
      </c>
      <c r="B127" s="2">
        <f>IF(OR(report!B127="",report!B128=""),NA(),report!B127/report!B128-1)</f>
        <v>4.4868199663488539E-2</v>
      </c>
      <c r="C127" s="2">
        <f>IF(OR(report!D127="",report!D128=""),NA(),report!D127/report!D128-1)</f>
        <v>-8.21643286573146E-2</v>
      </c>
      <c r="D127" s="2">
        <f>IF(OR(report!F127="",report!F128=""),NA(),report!F127/report!F128-1)</f>
        <v>2.2271714922050823E-3</v>
      </c>
      <c r="E127" s="2">
        <f>IF(OR(report!H127="",report!H128=""),NA(),report!H127/report!H128-1)</f>
        <v>-1.2208835167626608E-2</v>
      </c>
      <c r="F127" s="2">
        <f>IF(OR(report!J127="",report!J128=""),NA(),report!J127/report!J128-1)</f>
        <v>1.4623060962355439E-2</v>
      </c>
      <c r="G127" s="2">
        <f>IF(OR(report!L127="",report!L128=""),NA(),report!L127/report!L128-1)</f>
        <v>7.7602397602397621E-2</v>
      </c>
      <c r="H127" s="2">
        <f>IF(OR(report!N127="",report!N128=""),NA(),report!N127/report!N128-1)</f>
        <v>-3.9060568603213941E-2</v>
      </c>
      <c r="I127" s="2">
        <f>IF(OR(report!P127="",report!P128=""),NA(),report!P127/report!P128-1)</f>
        <v>-5.9712762941172337E-2</v>
      </c>
      <c r="J127" s="2">
        <f>IF(OR(report!R127="",report!R128=""),NA(),report!R127/report!R128-1)</f>
        <v>0.1074535729862498</v>
      </c>
      <c r="K127" s="2">
        <f>IF(OR(report!T127="",report!T128=""),NA(),report!T127/report!T128-1)</f>
        <v>-1.6309412861137407E-3</v>
      </c>
      <c r="L127" s="2">
        <f>IF(OR(report!V127="",report!V128=""),NA(),report!V127/report!V128-1)</f>
        <v>6.153201141418263E-3</v>
      </c>
    </row>
    <row r="128" spans="1:12" x14ac:dyDescent="0.75">
      <c r="A128" s="1">
        <f>report!A128</f>
        <v>42613.041250000002</v>
      </c>
      <c r="B128" s="2">
        <f>IF(OR(report!B128="",report!B129=""),NA(),report!B128/report!B129-1)</f>
        <v>4.6566229700645723E-2</v>
      </c>
      <c r="C128" s="2">
        <f>IF(OR(report!D128="",report!D129=""),NA(),report!D128/report!D129-1)</f>
        <v>1.3540961408259999E-2</v>
      </c>
      <c r="D128" s="2">
        <f>IF(OR(report!F128="",report!F129=""),NA(),report!F128/report!F129-1)</f>
        <v>7.9591836734693722E-3</v>
      </c>
      <c r="E128" s="2">
        <f>IF(OR(report!H128="",report!H129=""),NA(),report!H128/report!H129-1)</f>
        <v>1.4339258051844439E-2</v>
      </c>
      <c r="F128" s="2">
        <f>IF(OR(report!J128="",report!J129=""),NA(),report!J128/report!J129-1)</f>
        <v>-4.6223446105430055E-3</v>
      </c>
      <c r="G128" s="2">
        <f>IF(OR(report!L128="",report!L129=""),NA(),report!L128/report!L129-1)</f>
        <v>-1.8396485447556232E-2</v>
      </c>
      <c r="H128" s="2">
        <f>IF(OR(report!N128="",report!N129=""),NA(),report!N128/report!N129-1)</f>
        <v>-4.055977229601504E-2</v>
      </c>
      <c r="I128" s="2">
        <f>IF(OR(report!P128="",report!P129=""),NA(),report!P128/report!P129-1)</f>
        <v>2.8271767891625332E-2</v>
      </c>
      <c r="J128" s="2">
        <f>IF(OR(report!R128="",report!R129=""),NA(),report!R128/report!R129-1)</f>
        <v>-6.5332131822863015E-2</v>
      </c>
      <c r="K128" s="2">
        <f>IF(OR(report!T128="",report!T129=""),NA(),report!T128/report!T129-1)</f>
        <v>7.9849694692344375E-3</v>
      </c>
      <c r="L128" s="2">
        <f>IF(OR(report!V128="",report!V129=""),NA(),report!V128/report!V129-1)</f>
        <v>-1.5810201546340719E-2</v>
      </c>
    </row>
    <row r="129" spans="1:12" x14ac:dyDescent="0.75">
      <c r="A129" s="1">
        <f>report!A129</f>
        <v>42643.041250000002</v>
      </c>
      <c r="B129" s="2">
        <f>IF(OR(report!B129="",report!B130=""),NA(),report!B129/report!B130-1)</f>
        <v>3.928501276762919E-3</v>
      </c>
      <c r="C129" s="2">
        <f>IF(OR(report!D129="",report!D130=""),NA(),report!D129/report!D130-1)</f>
        <v>-6.1029879211697446E-2</v>
      </c>
      <c r="D129" s="2">
        <f>IF(OR(report!F129="",report!F130=""),NA(),report!F129/report!F130-1)</f>
        <v>0</v>
      </c>
      <c r="E129" s="2">
        <f>IF(OR(report!H129="",report!H130=""),NA(),report!H129/report!H130-1)</f>
        <v>7.772726492637938E-3</v>
      </c>
      <c r="F129" s="2">
        <f>IF(OR(report!J129="",report!J130=""),NA(),report!J129/report!J130-1)</f>
        <v>-8.651513790315335E-2</v>
      </c>
      <c r="G129" s="2">
        <f>IF(OR(report!L129="",report!L130=""),NA(),report!L129/report!L130-1)</f>
        <v>-2.7874165872259327E-2</v>
      </c>
      <c r="H129" s="2">
        <f>IF(OR(report!N129="",report!N130=""),NA(),report!N129/report!N130-1)</f>
        <v>-8.0279232111692966E-2</v>
      </c>
      <c r="I129" s="2">
        <f>IF(OR(report!P129="",report!P130=""),NA(),report!P129/report!P130-1)</f>
        <v>7.6054967308404775E-2</v>
      </c>
      <c r="J129" s="2">
        <f>IF(OR(report!R129="",report!R130=""),NA(),report!R129/report!R130-1)</f>
        <v>1.6776107681232055E-2</v>
      </c>
      <c r="K129" s="2">
        <f>IF(OR(report!T129="",report!T130=""),NA(),report!T129/report!T130-1)</f>
        <v>6.4766191547886987E-2</v>
      </c>
      <c r="L129" s="2">
        <f>IF(OR(report!V129="",report!V130=""),NA(),report!V129/report!V130-1)</f>
        <v>1.1309902535520555E-2</v>
      </c>
    </row>
    <row r="130" spans="1:12" x14ac:dyDescent="0.75">
      <c r="A130" s="1">
        <f>report!A130</f>
        <v>42674.041250000002</v>
      </c>
      <c r="B130" s="2">
        <f>IF(OR(report!B130="",report!B131=""),NA(),report!B130/report!B131-1)</f>
        <v>7.5184794086589068E-2</v>
      </c>
      <c r="C130" s="2">
        <f>IF(OR(report!D130="",report!D131=""),NA(),report!D130/report!D131-1)</f>
        <v>2.2092267706302682E-2</v>
      </c>
      <c r="D130" s="2">
        <f>IF(OR(report!F130="",report!F131=""),NA(),report!F130/report!F131-1)</f>
        <v>-6.7567567567567988E-3</v>
      </c>
      <c r="E130" s="2">
        <f>IF(OR(report!H130="",report!H131=""),NA(),report!H130/report!H131-1)</f>
        <v>4.2691631192010027E-2</v>
      </c>
      <c r="F130" s="2">
        <f>IF(OR(report!J130="",report!J131=""),NA(),report!J130/report!J131-1)</f>
        <v>0.12867572500506985</v>
      </c>
      <c r="G130" s="2">
        <f>IF(OR(report!L130="",report!L131=""),NA(),report!L130/report!L131-1)</f>
        <v>6.6013576683874753E-2</v>
      </c>
      <c r="H130" s="2">
        <f>IF(OR(report!N130="",report!N131=""),NA(),report!N130/report!N131-1)</f>
        <v>0.1029836381135707</v>
      </c>
      <c r="I130" s="2">
        <f>IF(OR(report!P130="",report!P131=""),NA(),report!P130/report!P131-1)</f>
        <v>0.12939871546122039</v>
      </c>
      <c r="J130" s="2">
        <f>IF(OR(report!R130="",report!R131=""),NA(),report!R130/report!R131-1)</f>
        <v>3.7597899406944579E-2</v>
      </c>
      <c r="K130" s="2">
        <f>IF(OR(report!T130="",report!T131=""),NA(),report!T130/report!T131-1)</f>
        <v>5.9337748344370889E-2</v>
      </c>
      <c r="L130" s="2">
        <f>IF(OR(report!V130="",report!V131=""),NA(),report!V130/report!V131-1)</f>
        <v>-7.3252904156381193E-3</v>
      </c>
    </row>
    <row r="131" spans="1:12" x14ac:dyDescent="0.75">
      <c r="A131" s="1">
        <f>report!A131</f>
        <v>42704.041250000002</v>
      </c>
      <c r="B131" s="2">
        <f>IF(OR(report!B131="",report!B132=""),NA(),report!B131/report!B132-1)</f>
        <v>7.2325037226121935E-3</v>
      </c>
      <c r="C131" s="2">
        <f>IF(OR(report!D131="",report!D132=""),NA(),report!D131/report!D132-1)</f>
        <v>-3.20754716981132E-2</v>
      </c>
      <c r="D131" s="2">
        <f>IF(OR(report!F131="",report!F132=""),NA(),report!F131/report!F132-1)</f>
        <v>6.8027210884353817E-3</v>
      </c>
      <c r="E131" s="2">
        <f>IF(OR(report!H131="",report!H132=""),NA(),report!H131/report!H132-1)</f>
        <v>2.7745190033975353E-2</v>
      </c>
      <c r="F131" s="2">
        <f>IF(OR(report!J131="",report!J132=""),NA(),report!J131/report!J132-1)</f>
        <v>-3.5972629521016541E-2</v>
      </c>
      <c r="G131" s="2">
        <f>IF(OR(report!L131="",report!L132=""),NA(),report!L131/report!L132-1)</f>
        <v>-6.4956290383884618E-2</v>
      </c>
      <c r="H131" s="2">
        <f>IF(OR(report!N131="",report!N132=""),NA(),report!N131/report!N132-1)</f>
        <v>0.1035581518852895</v>
      </c>
      <c r="I131" s="2">
        <f>IF(OR(report!P131="",report!P132=""),NA(),report!P131/report!P132-1)</f>
        <v>-3.3476173189140535E-2</v>
      </c>
      <c r="J131" s="2">
        <f>IF(OR(report!R131="",report!R132=""),NA(),report!R131/report!R132-1)</f>
        <v>0.14432989690721643</v>
      </c>
      <c r="K131" s="2">
        <f>IF(OR(report!T131="",report!T132=""),NA(),report!T131/report!T132-1)</f>
        <v>1.8893387314440124E-2</v>
      </c>
      <c r="L131" s="2">
        <f>IF(OR(report!V131="",report!V132=""),NA(),report!V131/report!V132-1)</f>
        <v>-4.8424706250225213E-3</v>
      </c>
    </row>
    <row r="132" spans="1:12" x14ac:dyDescent="0.75">
      <c r="A132" s="1">
        <f>report!A132</f>
        <v>42734.041250000002</v>
      </c>
      <c r="B132" s="2">
        <f>IF(OR(report!B132="",report!B133=""),NA(),report!B132/report!B133-1)</f>
        <v>1.6872160934458202E-2</v>
      </c>
      <c r="C132" s="2">
        <f>IF(OR(report!D132="",report!D133=""),NA(),report!D132/report!D133-1)</f>
        <v>-0.14146868250539957</v>
      </c>
      <c r="D132" s="2">
        <f>IF(OR(report!F132="",report!F133=""),NA(),report!F132/report!F133-1)</f>
        <v>0</v>
      </c>
      <c r="E132" s="2">
        <f>IF(OR(report!H132="",report!H133=""),NA(),report!H132/report!H133-1)</f>
        <v>5.5146372491156281E-2</v>
      </c>
      <c r="F132" s="2">
        <f>IF(OR(report!J132="",report!J133=""),NA(),report!J132/report!J133-1)</f>
        <v>2.3511755877938967E-2</v>
      </c>
      <c r="G132" s="2">
        <f>IF(OR(report!L132="",report!L133=""),NA(),report!L132/report!L133-1)</f>
        <v>-6.2266101151227771E-2</v>
      </c>
      <c r="H132" s="2">
        <f>IF(OR(report!N132="",report!N133=""),NA(),report!N132/report!N133-1)</f>
        <v>1.6464237516869096E-2</v>
      </c>
      <c r="I132" s="2">
        <f>IF(OR(report!P132="",report!P133=""),NA(),report!P132/report!P133-1)</f>
        <v>-3.2033985890793648E-3</v>
      </c>
      <c r="J132" s="2">
        <f>IF(OR(report!R132="",report!R133=""),NA(),report!R132/report!R133-1)</f>
        <v>-0.21713914912600885</v>
      </c>
      <c r="K132" s="2">
        <f>IF(OR(report!T132="",report!T133=""),NA(),report!T132/report!T133-1)</f>
        <v>4.0650406504063596E-3</v>
      </c>
      <c r="L132" s="2">
        <f>IF(OR(report!V132="",report!V133=""),NA(),report!V132/report!V133-1)</f>
        <v>-3.1848659307642802E-3</v>
      </c>
    </row>
    <row r="133" spans="1:12" x14ac:dyDescent="0.75">
      <c r="A133" s="1">
        <f>report!A133</f>
        <v>42766.041250000002</v>
      </c>
      <c r="B133" s="2">
        <f>IF(OR(report!B133="",report!B134=""),NA(),report!B133/report!B134-1)</f>
        <v>-2.509489666807263E-2</v>
      </c>
      <c r="C133" s="2">
        <f>IF(OR(report!D133="",report!D134=""),NA(),report!D133/report!D134-1)</f>
        <v>0.13202933985330079</v>
      </c>
      <c r="D133" s="2">
        <f>IF(OR(report!F133="",report!F134=""),NA(),report!F133/report!F134-1)</f>
        <v>0</v>
      </c>
      <c r="E133" s="2">
        <f>IF(OR(report!H133="",report!H134=""),NA(),report!H133/report!H134-1)</f>
        <v>-7.0475204495774713E-2</v>
      </c>
      <c r="F133" s="2">
        <f>IF(OR(report!J133="",report!J134=""),NA(),report!J133/report!J134-1)</f>
        <v>1.0015022533802487E-3</v>
      </c>
      <c r="G133" s="2">
        <f>IF(OR(report!L133="",report!L134=""),NA(),report!L133/report!L134-1)</f>
        <v>5.907443756605768E-2</v>
      </c>
      <c r="H133" s="2">
        <f>IF(OR(report!N133="",report!N134=""),NA(),report!N133/report!N134-1)</f>
        <v>-9.0933404653651406E-3</v>
      </c>
      <c r="I133" s="2">
        <f>IF(OR(report!P133="",report!P134=""),NA(),report!P133/report!P134-1)</f>
        <v>-1.1087653075428028E-2</v>
      </c>
      <c r="J133" s="2">
        <f>IF(OR(report!R133="",report!R134=""),NA(),report!R133/report!R134-1)</f>
        <v>3.3143383893404765E-2</v>
      </c>
      <c r="K133" s="2">
        <f>IF(OR(report!T133="",report!T134=""),NA(),report!T133/report!T134-1)</f>
        <v>-5.2631578947368474E-2</v>
      </c>
      <c r="L133" s="2">
        <f>IF(OR(report!V133="",report!V134=""),NA(),report!V133/report!V134-1)</f>
        <v>-5.1847450085023006E-3</v>
      </c>
    </row>
    <row r="134" spans="1:12" x14ac:dyDescent="0.75">
      <c r="A134" s="1">
        <f>report!A134</f>
        <v>42794.041250000002</v>
      </c>
      <c r="B134" s="2">
        <f>IF(OR(report!B134="",report!B135=""),NA(),report!B134/report!B135-1)</f>
        <v>1.7814981755741588E-2</v>
      </c>
      <c r="C134" s="2">
        <f>IF(OR(report!D134="",report!D135=""),NA(),report!D134/report!D135-1)</f>
        <v>3.6809815950920033E-3</v>
      </c>
      <c r="D134" s="2">
        <f>IF(OR(report!F134="",report!F135=""),NA(),report!F134/report!F135-1)</f>
        <v>0</v>
      </c>
      <c r="E134" s="2">
        <f>IF(OR(report!H134="",report!H135=""),NA(),report!H134/report!H135-1)</f>
        <v>-4.5574345291043983E-2</v>
      </c>
      <c r="F134" s="2">
        <f>IF(OR(report!J134="",report!J135=""),NA(),report!J134/report!J135-1)</f>
        <v>-7.2543191528887219E-2</v>
      </c>
      <c r="G134" s="2">
        <f>IF(OR(report!L134="",report!L135=""),NA(),report!L134/report!L135-1)</f>
        <v>5.3508405753104338E-3</v>
      </c>
      <c r="H134" s="2">
        <f>IF(OR(report!N134="",report!N135=""),NA(),report!N134/report!N135-1)</f>
        <v>-3.4349173553718915E-2</v>
      </c>
      <c r="I134" s="2">
        <f>IF(OR(report!P134="",report!P135=""),NA(),report!P134/report!P135-1)</f>
        <v>-6.7683973590084934E-2</v>
      </c>
      <c r="J134" s="2">
        <f>IF(OR(report!R134="",report!R135=""),NA(),report!R134/report!R135-1)</f>
        <v>-1.1780294403842539E-2</v>
      </c>
      <c r="K134" s="2">
        <f>IF(OR(report!T134="",report!T135=""),NA(),report!T134/report!T135-1)</f>
        <v>-9.754402224281733E-2</v>
      </c>
      <c r="L134" s="2">
        <f>IF(OR(report!V134="",report!V135=""),NA(),report!V134/report!V135-1)</f>
        <v>-4.5625893505795156E-3</v>
      </c>
    </row>
    <row r="135" spans="1:12" x14ac:dyDescent="0.75">
      <c r="A135" s="1">
        <f>report!A135</f>
        <v>42825.041250000002</v>
      </c>
      <c r="B135" s="2">
        <f>IF(OR(report!B135="",report!B136=""),NA(),report!B135/report!B136-1)</f>
        <v>1.1067708333333481E-2</v>
      </c>
      <c r="C135" s="2">
        <f>IF(OR(report!D135="",report!D136=""),NA(),report!D135/report!D136-1)</f>
        <v>-2.102102102102088E-2</v>
      </c>
      <c r="D135" s="2">
        <f>IF(OR(report!F135="",report!F136=""),NA(),report!F135/report!F136-1)</f>
        <v>0</v>
      </c>
      <c r="E135" s="2">
        <f>IF(OR(report!H135="",report!H136=""),NA(),report!H135/report!H136-1)</f>
        <v>-5.9297519200335991E-2</v>
      </c>
      <c r="F135" s="2">
        <f>IF(OR(report!J135="",report!J136=""),NA(),report!J135/report!J136-1)</f>
        <v>-1.1840293712712335E-2</v>
      </c>
      <c r="G135" s="2">
        <f>IF(OR(report!L135="",report!L136=""),NA(),report!L135/report!L136-1)</f>
        <v>4.8253639907709367E-2</v>
      </c>
      <c r="H135" s="2">
        <f>IF(OR(report!N135="",report!N136=""),NA(),report!N135/report!N136-1)</f>
        <v>-7.4569789674952314E-2</v>
      </c>
      <c r="I135" s="2">
        <f>IF(OR(report!P135="",report!P136=""),NA(),report!P135/report!P136-1)</f>
        <v>1.1199598182520143E-2</v>
      </c>
      <c r="J135" s="2">
        <f>IF(OR(report!R135="",report!R136=""),NA(),report!R135/report!R136-1)</f>
        <v>5.4261704681872747E-2</v>
      </c>
      <c r="K135" s="2">
        <f>IF(OR(report!T135="",report!T136=""),NA(),report!T135/report!T136-1)</f>
        <v>1.5529411764705792E-2</v>
      </c>
      <c r="L135" s="2">
        <f>IF(OR(report!V135="",report!V136=""),NA(),report!V135/report!V136-1)</f>
        <v>2.241041019786616E-3</v>
      </c>
    </row>
    <row r="136" spans="1:12" x14ac:dyDescent="0.75">
      <c r="A136" s="1">
        <f>report!A136</f>
        <v>42853.041250000002</v>
      </c>
      <c r="B136" s="2">
        <f>IF(OR(report!B136="",report!B137=""),NA(),report!B136/report!B137-1)</f>
        <v>7.0880780850569369E-2</v>
      </c>
      <c r="C136" s="2">
        <f>IF(OR(report!D136="",report!D137=""),NA(),report!D136/report!D137-1)</f>
        <v>7.9766536964980483E-2</v>
      </c>
      <c r="D136" s="2">
        <f>IF(OR(report!F136="",report!F137=""),NA(),report!F136/report!F137-1)</f>
        <v>-5.1612903225806472E-2</v>
      </c>
      <c r="E136" s="2">
        <f>IF(OR(report!H136="",report!H137=""),NA(),report!H136/report!H137-1)</f>
        <v>2.1528690874480283E-2</v>
      </c>
      <c r="F136" s="2">
        <f>IF(OR(report!J136="",report!J137=""),NA(),report!J136/report!J137-1)</f>
        <v>1.414874802196775E-2</v>
      </c>
      <c r="G136" s="2">
        <f>IF(OR(report!L136="",report!L137=""),NA(),report!L136/report!L137-1)</f>
        <v>3.342240493319637E-2</v>
      </c>
      <c r="H136" s="2">
        <f>IF(OR(report!N136="",report!N137=""),NA(),report!N136/report!N137-1)</f>
        <v>6.4631043256997645E-2</v>
      </c>
      <c r="I136" s="2">
        <f>IF(OR(report!P136="",report!P137=""),NA(),report!P136/report!P137-1)</f>
        <v>9.0070539755379153E-2</v>
      </c>
      <c r="J136" s="2">
        <f>IF(OR(report!R136="",report!R137=""),NA(),report!R136/report!R137-1)</f>
        <v>0.13009052564070922</v>
      </c>
      <c r="K136" s="2">
        <f>IF(OR(report!T136="",report!T137=""),NA(),report!T136/report!T137-1)</f>
        <v>-5.3826351509477233E-3</v>
      </c>
      <c r="L136" s="2">
        <f>IF(OR(report!V136="",report!V137=""),NA(),report!V136/report!V137-1)</f>
        <v>-7.4357782381732074E-3</v>
      </c>
    </row>
    <row r="137" spans="1:12" x14ac:dyDescent="0.75">
      <c r="A137" s="1">
        <f>report!A137</f>
        <v>42886.041250000002</v>
      </c>
      <c r="B137" s="2">
        <f>IF(OR(report!B137="",report!B138=""),NA(),report!B137/report!B138-1)</f>
        <v>-5.6359649122806998E-2</v>
      </c>
      <c r="C137" s="2">
        <f>IF(OR(report!D137="",report!D138=""),NA(),report!D137/report!D138-1)</f>
        <v>-9.5601173020527952E-2</v>
      </c>
      <c r="D137" s="2">
        <f>IF(OR(report!F137="",report!F138=""),NA(),report!F137/report!F138-1)</f>
        <v>3.3677892630876949E-2</v>
      </c>
      <c r="E137" s="2">
        <f>IF(OR(report!H137="",report!H138=""),NA(),report!H137/report!H138-1)</f>
        <v>-8.7724447497635194E-2</v>
      </c>
      <c r="F137" s="2">
        <f>IF(OR(report!J137="",report!J138=""),NA(),report!J137/report!J138-1)</f>
        <v>-6.8983447439119439E-2</v>
      </c>
      <c r="G137" s="2">
        <f>IF(OR(report!L137="",report!L138=""),NA(),report!L137/report!L138-1)</f>
        <v>2.7758999492986325E-2</v>
      </c>
      <c r="H137" s="2">
        <f>IF(OR(report!N137="",report!N138=""),NA(),report!N137/report!N138-1)</f>
        <v>1.7843487127198188E-3</v>
      </c>
      <c r="I137" s="2">
        <f>IF(OR(report!P137="",report!P138=""),NA(),report!P137/report!P138-1)</f>
        <v>-4.010418509365643E-2</v>
      </c>
      <c r="J137" s="2">
        <f>IF(OR(report!R137="",report!R138=""),NA(),report!R137/report!R138-1)</f>
        <v>-1.0060313041779456E-2</v>
      </c>
      <c r="K137" s="2">
        <f>IF(OR(report!T137="",report!T138=""),NA(),report!T137/report!T138-1)</f>
        <v>1.4241633040588564E-2</v>
      </c>
      <c r="L137" s="2">
        <f>IF(OR(report!V137="",report!V138=""),NA(),report!V137/report!V138-1)</f>
        <v>-2.4915106476181004E-3</v>
      </c>
    </row>
    <row r="138" spans="1:12" x14ac:dyDescent="0.75">
      <c r="A138" s="1">
        <f>report!A138</f>
        <v>42916.041250000002</v>
      </c>
      <c r="B138" s="2">
        <f>IF(OR(report!B138="",report!B139=""),NA(),report!B138/report!B139-1)</f>
        <v>1.3108198178182651E-2</v>
      </c>
      <c r="C138" s="2">
        <f>IF(OR(report!D138="",report!D139=""),NA(),report!D138/report!D139-1)</f>
        <v>-8.720930232558044E-3</v>
      </c>
      <c r="D138" s="2">
        <f>IF(OR(report!F138="",report!F139=""),NA(),report!F138/report!F139-1)</f>
        <v>7.1071428571428452E-2</v>
      </c>
      <c r="E138" s="2">
        <f>IF(OR(report!H138="",report!H139=""),NA(),report!H138/report!H139-1)</f>
        <v>2.5998223235887963E-3</v>
      </c>
      <c r="F138" s="2">
        <f>IF(OR(report!J138="",report!J139=""),NA(),report!J138/report!J139-1)</f>
        <v>-2.228435858329092E-2</v>
      </c>
      <c r="G138" s="2">
        <f>IF(OR(report!L138="",report!L139=""),NA(),report!L138/report!L139-1)</f>
        <v>-3.7455772906584195E-2</v>
      </c>
      <c r="H138" s="2">
        <f>IF(OR(report!N138="",report!N139=""),NA(),report!N138/report!N139-1)</f>
        <v>-2.3643603782976697E-2</v>
      </c>
      <c r="I138" s="2">
        <f>IF(OR(report!P138="",report!P139=""),NA(),report!P138/report!P139-1)</f>
        <v>7.1428595217735147E-2</v>
      </c>
      <c r="J138" s="2">
        <f>IF(OR(report!R138="",report!R139=""),NA(),report!R138/report!R139-1)</f>
        <v>-6.4295016793474602E-2</v>
      </c>
      <c r="K138" s="2">
        <f>IF(OR(report!T138="",report!T139=""),NA(),report!T138/report!T139-1)</f>
        <v>2.5559883154820051E-2</v>
      </c>
      <c r="L138" s="2">
        <f>IF(OR(report!V138="",report!V139=""),NA(),report!V138/report!V139-1)</f>
        <v>-1.5467269401425732E-2</v>
      </c>
    </row>
    <row r="139" spans="1:12" x14ac:dyDescent="0.75">
      <c r="A139" s="1">
        <f>report!A139</f>
        <v>42947.041250000002</v>
      </c>
      <c r="B139" s="2">
        <f>IF(OR(report!B139="",report!B140=""),NA(),report!B139/report!B140-1)</f>
        <v>3.8532533456391294E-2</v>
      </c>
      <c r="C139" s="2">
        <f>IF(OR(report!D139="",report!D140=""),NA(),report!D139/report!D140-1)</f>
        <v>2.9323758228605445E-2</v>
      </c>
      <c r="D139" s="2">
        <f>IF(OR(report!F139="",report!F140=""),NA(),report!F139/report!F140-1)</f>
        <v>2.1897810218978186E-2</v>
      </c>
      <c r="E139" s="2">
        <f>IF(OR(report!H139="",report!H140=""),NA(),report!H139/report!H140-1)</f>
        <v>3.3720400509634985E-2</v>
      </c>
      <c r="F139" s="2">
        <f>IF(OR(report!J139="",report!J140=""),NA(),report!J139/report!J140-1)</f>
        <v>-3.1988188976378007E-2</v>
      </c>
      <c r="G139" s="2">
        <f>IF(OR(report!L139="",report!L140=""),NA(),report!L139/report!L140-1)</f>
        <v>-6.2275951491114534E-2</v>
      </c>
      <c r="H139" s="2">
        <f>IF(OR(report!N139="",report!N140=""),NA(),report!N139/report!N140-1)</f>
        <v>-8.2229328460484252E-2</v>
      </c>
      <c r="I139" s="2">
        <f>IF(OR(report!P139="",report!P140=""),NA(),report!P139/report!P140-1)</f>
        <v>2.1082597424824545E-2</v>
      </c>
      <c r="J139" s="2">
        <f>IF(OR(report!R139="",report!R140=""),NA(),report!R139/report!R140-1)</f>
        <v>-5.7821884485393715E-2</v>
      </c>
      <c r="K139" s="2">
        <f>IF(OR(report!T139="",report!T140=""),NA(),report!T139/report!T140-1)</f>
        <v>-5.5415037939756329E-2</v>
      </c>
      <c r="L139" s="2">
        <f>IF(OR(report!V139="",report!V140=""),NA(),report!V139/report!V140-1)</f>
        <v>6.724428503910751E-3</v>
      </c>
    </row>
    <row r="140" spans="1:12" x14ac:dyDescent="0.75">
      <c r="A140" s="1">
        <f>report!A140</f>
        <v>42978.041250000002</v>
      </c>
      <c r="B140" s="2">
        <f>IF(OR(report!B140="",report!B141=""),NA(),report!B140/report!B141-1)</f>
        <v>-1.4327950875596906E-2</v>
      </c>
      <c r="C140" s="2">
        <f>IF(OR(report!D140="",report!D141=""),NA(),report!D140/report!D141-1)</f>
        <v>9.6676737160121817E-3</v>
      </c>
      <c r="D140" s="2">
        <f>IF(OR(report!F140="",report!F141=""),NA(),report!F140/report!F141-1)</f>
        <v>-3.8596491228070184E-2</v>
      </c>
      <c r="E140" s="2">
        <f>IF(OR(report!H140="",report!H141=""),NA(),report!H140/report!H141-1)</f>
        <v>5.7993562932289411E-2</v>
      </c>
      <c r="F140" s="2">
        <f>IF(OR(report!J140="",report!J141=""),NA(),report!J140/report!J141-1)</f>
        <v>-2.914476827520307E-2</v>
      </c>
      <c r="G140" s="2">
        <f>IF(OR(report!L140="",report!L141=""),NA(),report!L140/report!L141-1)</f>
        <v>-1.5062164294031399E-2</v>
      </c>
      <c r="H140" s="2">
        <f>IF(OR(report!N140="",report!N141=""),NA(),report!N140/report!N141-1)</f>
        <v>-5.6779468544174705E-3</v>
      </c>
      <c r="I140" s="2">
        <f>IF(OR(report!P140="",report!P141=""),NA(),report!P140/report!P141-1)</f>
        <v>-5.2631561990978293E-2</v>
      </c>
      <c r="J140" s="2">
        <f>IF(OR(report!R140="",report!R141=""),NA(),report!R140/report!R141-1)</f>
        <v>2.7016868961552865E-2</v>
      </c>
      <c r="K140" s="2">
        <f>IF(OR(report!T140="",report!T141=""),NA(),report!T140/report!T141-1)</f>
        <v>4.2925659472422106E-2</v>
      </c>
      <c r="L140" s="2">
        <f>IF(OR(report!V140="",report!V141=""),NA(),report!V140/report!V141-1)</f>
        <v>2.8010442106976008E-2</v>
      </c>
    </row>
    <row r="141" spans="1:12" x14ac:dyDescent="0.75">
      <c r="A141" s="1">
        <f>report!A141</f>
        <v>43007.041250000002</v>
      </c>
      <c r="B141" s="2">
        <f>IF(OR(report!B141="",report!B142=""),NA(),report!B141/report!B142-1)</f>
        <v>-7.8971119133574019E-3</v>
      </c>
      <c r="C141" s="2">
        <f>IF(OR(report!D141="",report!D142=""),NA(),report!D141/report!D142-1)</f>
        <v>6.2259306803594372E-2</v>
      </c>
      <c r="D141" s="2">
        <f>IF(OR(report!F141="",report!F142=""),NA(),report!F141/report!F142-1)</f>
        <v>-2.9159286006267937E-2</v>
      </c>
      <c r="E141" s="2">
        <f>IF(OR(report!H141="",report!H142=""),NA(),report!H141/report!H142-1)</f>
        <v>2.5133367560655762E-2</v>
      </c>
      <c r="F141" s="2">
        <f>IF(OR(report!J141="",report!J142=""),NA(),report!J141/report!J142-1)</f>
        <v>0.10370891193531384</v>
      </c>
      <c r="G141" s="2">
        <f>IF(OR(report!L141="",report!L142=""),NA(),report!L141/report!L142-1)</f>
        <v>6.0128220443595115E-2</v>
      </c>
      <c r="H141" s="2">
        <f>IF(OR(report!N141="",report!N142=""),NA(),report!N141/report!N142-1)</f>
        <v>7.3378839590443556E-2</v>
      </c>
      <c r="I141" s="2">
        <f>IF(OR(report!P141="",report!P142=""),NA(),report!P141/report!P142-1)</f>
        <v>0.12238716526631177</v>
      </c>
      <c r="J141" s="2">
        <f>IF(OR(report!R141="",report!R142=""),NA(),report!R141/report!R142-1)</f>
        <v>1.4853373420987692E-2</v>
      </c>
      <c r="K141" s="2">
        <f>IF(OR(report!T141="",report!T142=""),NA(),report!T141/report!T142-1)</f>
        <v>-2.6610644257703098E-2</v>
      </c>
      <c r="L141" s="2">
        <f>IF(OR(report!V141="",report!V142=""),NA(),report!V141/report!V142-1)</f>
        <v>-3.0631784046942001E-2</v>
      </c>
    </row>
    <row r="142" spans="1:12" x14ac:dyDescent="0.75">
      <c r="A142" s="1">
        <f>report!A142</f>
        <v>43039.041250000002</v>
      </c>
      <c r="B142" s="2">
        <f>IF(OR(report!B142="",report!B143=""),NA(),report!B142/report!B143-1)</f>
        <v>2.0023014959723806E-2</v>
      </c>
      <c r="C142" s="2">
        <f>IF(OR(report!D142="",report!D143=""),NA(),report!D142/report!D143-1)</f>
        <v>9.256661991584858E-2</v>
      </c>
      <c r="D142" s="2">
        <f>IF(OR(report!F142="",report!F143=""),NA(),report!F142/report!F143-1)</f>
        <v>2.6641164013936347E-3</v>
      </c>
      <c r="E142" s="2">
        <f>IF(OR(report!H142="",report!H143=""),NA(),report!H142/report!H143-1)</f>
        <v>-1.9731526218699225E-2</v>
      </c>
      <c r="F142" s="2">
        <f>IF(OR(report!J142="",report!J143=""),NA(),report!J142/report!J143-1)</f>
        <v>4.0988106129917767E-2</v>
      </c>
      <c r="G142" s="2">
        <f>IF(OR(report!L142="",report!L143=""),NA(),report!L142/report!L143-1)</f>
        <v>8.6954639889196716E-2</v>
      </c>
      <c r="H142" s="2">
        <f>IF(OR(report!N142="",report!N143=""),NA(),report!N142/report!N143-1)</f>
        <v>-2.9112426035502903E-2</v>
      </c>
      <c r="I142" s="2">
        <f>IF(OR(report!P142="",report!P143=""),NA(),report!P142/report!P143-1)</f>
        <v>-9.3037358075122034E-3</v>
      </c>
      <c r="J142" s="2">
        <f>IF(OR(report!R142="",report!R143=""),NA(),report!R142/report!R143-1)</f>
        <v>0.14004706604594053</v>
      </c>
      <c r="K142" s="2">
        <f>IF(OR(report!T142="",report!T143=""),NA(),report!T142/report!T143-1)</f>
        <v>-2.4590163934426146E-2</v>
      </c>
      <c r="L142" s="2">
        <f>IF(OR(report!V142="",report!V143=""),NA(),report!V142/report!V143-1)</f>
        <v>1.4613195888663277E-2</v>
      </c>
    </row>
    <row r="143" spans="1:12" x14ac:dyDescent="0.75">
      <c r="A143" s="1">
        <f>report!A143</f>
        <v>43069.041250000002</v>
      </c>
      <c r="B143" s="2">
        <f>IF(OR(report!B143="",report!B144=""),NA(),report!B143/report!B144-1)</f>
        <v>-1.3789933348654637E-3</v>
      </c>
      <c r="C143" s="2">
        <f>IF(OR(report!D143="",report!D144=""),NA(),report!D143/report!D144-1)</f>
        <v>-2.9931972789115635E-2</v>
      </c>
      <c r="D143" s="2">
        <f>IF(OR(report!F143="",report!F144=""),NA(),report!F143/report!F144-1)</f>
        <v>1.3781163434902988E-2</v>
      </c>
      <c r="E143" s="2">
        <f>IF(OR(report!H143="",report!H144=""),NA(),report!H143/report!H144-1)</f>
        <v>-8.2141617963173208E-2</v>
      </c>
      <c r="F143" s="2">
        <f>IF(OR(report!J143="",report!J144=""),NA(),report!J143/report!J144-1)</f>
        <v>1.3632569785773985E-2</v>
      </c>
      <c r="G143" s="2">
        <f>IF(OR(report!L143="",report!L144=""),NA(),report!L143/report!L144-1)</f>
        <v>-7.3245086241476187E-2</v>
      </c>
      <c r="H143" s="2">
        <f>IF(OR(report!N143="",report!N144=""),NA(),report!N143/report!N144-1)</f>
        <v>-7.5087565674255674E-2</v>
      </c>
      <c r="I143" s="2">
        <f>IF(OR(report!P143="",report!P144=""),NA(),report!P143/report!P144-1)</f>
        <v>-3.8383824275399658E-2</v>
      </c>
      <c r="J143" s="2">
        <f>IF(OR(report!R143="",report!R144=""),NA(),report!R143/report!R144-1)</f>
        <v>-4.5673135603564008E-2</v>
      </c>
      <c r="K143" s="2">
        <f>IF(OR(report!T143="",report!T144=""),NA(),report!T143/report!T144-1)</f>
        <v>-8.8607594936708778E-2</v>
      </c>
      <c r="L143" s="2">
        <f>IF(OR(report!V143="",report!V144=""),NA(),report!V143/report!V144-1)</f>
        <v>-1.8529906306657962E-3</v>
      </c>
    </row>
    <row r="144" spans="1:12" x14ac:dyDescent="0.75">
      <c r="A144" s="1">
        <f>report!A144</f>
        <v>43098.041250000002</v>
      </c>
      <c r="B144" s="2">
        <f>IF(OR(report!B144="",report!B145=""),NA(),report!B144/report!B145-1)</f>
        <v>-4.1629955947136588E-2</v>
      </c>
      <c r="C144" s="2">
        <f>IF(OR(report!D144="",report!D145=""),NA(),report!D144/report!D145-1)</f>
        <v>-5.0387596899224896E-2</v>
      </c>
      <c r="D144" s="2">
        <f>IF(OR(report!F144="",report!F145=""),NA(),report!F144/report!F145-1)</f>
        <v>-6.8387096774193523E-2</v>
      </c>
      <c r="E144" s="2">
        <f>IF(OR(report!H144="",report!H145=""),NA(),report!H144/report!H145-1)</f>
        <v>3.8542578585987641E-2</v>
      </c>
      <c r="F144" s="2">
        <f>IF(OR(report!J144="",report!J145=""),NA(),report!J144/report!J145-1)</f>
        <v>-9.8260578692088929E-2</v>
      </c>
      <c r="G144" s="2">
        <f>IF(OR(report!L144="",report!L145=""),NA(),report!L144/report!L145-1)</f>
        <v>0.12145748987854255</v>
      </c>
      <c r="H144" s="2">
        <f>IF(OR(report!N144="",report!N145=""),NA(),report!N144/report!N145-1)</f>
        <v>4.5787545787545847E-2</v>
      </c>
      <c r="I144" s="2">
        <f>IF(OR(report!P144="",report!P145=""),NA(),report!P144/report!P145-1)</f>
        <v>-8.5836883220495874E-3</v>
      </c>
      <c r="J144" s="2">
        <f>IF(OR(report!R144="",report!R145=""),NA(),report!R144/report!R145-1)</f>
        <v>-5.0307175147791927E-2</v>
      </c>
      <c r="K144" s="2">
        <f>IF(OR(report!T144="",report!T145=""),NA(),report!T144/report!T145-1)</f>
        <v>3.323327615780447E-2</v>
      </c>
      <c r="L144" s="2">
        <f>IF(OR(report!V144="",report!V145=""),NA(),report!V144/report!V145-1)</f>
        <v>-2.7556855017968784E-2</v>
      </c>
    </row>
    <row r="145" spans="1:12" x14ac:dyDescent="0.75">
      <c r="A145" s="1">
        <f>report!A145</f>
        <v>43131.041250000002</v>
      </c>
      <c r="B145" s="2">
        <f>IF(OR(report!B145="",report!B146=""),NA(),report!B145/report!B146-1)</f>
        <v>2.9245069145318547E-2</v>
      </c>
      <c r="C145" s="2">
        <f>IF(OR(report!D145="",report!D146=""),NA(),report!D145/report!D146-1)</f>
        <v>0.2433734939759038</v>
      </c>
      <c r="D145" s="2">
        <f>IF(OR(report!F145="",report!F146=""),NA(),report!F145/report!F146-1)</f>
        <v>2.9900332225913706E-2</v>
      </c>
      <c r="E145" s="2">
        <f>IF(OR(report!H145="",report!H146=""),NA(),report!H145/report!H146-1)</f>
        <v>6.8471333339533258E-2</v>
      </c>
      <c r="F145" s="2">
        <f>IF(OR(report!J145="",report!J146=""),NA(),report!J145/report!J146-1)</f>
        <v>5.6733828207847337E-2</v>
      </c>
      <c r="G145" s="2">
        <f>IF(OR(report!L145="",report!L146=""),NA(),report!L145/report!L146-1)</f>
        <v>1.8790100824931377E-2</v>
      </c>
      <c r="H145" s="2">
        <f>IF(OR(report!N145="",report!N146=""),NA(),report!N145/report!N146-1)</f>
        <v>-5.4340766399653573E-2</v>
      </c>
      <c r="I145" s="2">
        <f>IF(OR(report!P145="",report!P146=""),NA(),report!P145/report!P146-1)</f>
        <v>1.7467243390314691E-2</v>
      </c>
      <c r="J145" s="2">
        <f>IF(OR(report!R145="",report!R146=""),NA(),report!R145/report!R146-1)</f>
        <v>4.7118512404719093E-2</v>
      </c>
      <c r="K145" s="2">
        <f>IF(OR(report!T145="",report!T146=""),NA(),report!T145/report!T146-1)</f>
        <v>6.0000000000000053E-2</v>
      </c>
      <c r="L145" s="2">
        <f>IF(OR(report!V145="",report!V146=""),NA(),report!V145/report!V146-1)</f>
        <v>-9.7872768062788884E-3</v>
      </c>
    </row>
    <row r="146" spans="1:12" x14ac:dyDescent="0.75">
      <c r="A146" s="1">
        <f>report!A146</f>
        <v>43159.041250000002</v>
      </c>
      <c r="B146" s="2">
        <f>IF(OR(report!B146="",report!B147=""),NA(),report!B146/report!B147-1)</f>
        <v>0.10884866767219714</v>
      </c>
      <c r="C146" s="2">
        <f>IF(OR(report!D146="",report!D147=""),NA(),report!D146/report!D147-1)</f>
        <v>3.4912718204488824E-2</v>
      </c>
      <c r="D146" s="2">
        <f>IF(OR(report!F146="",report!F147=""),NA(),report!F146/report!F147-1)</f>
        <v>6.7563047695498035E-3</v>
      </c>
      <c r="E146" s="2">
        <f>IF(OR(report!H146="",report!H147=""),NA(),report!H146/report!H147-1)</f>
        <v>1.3861828441638524E-2</v>
      </c>
      <c r="F146" s="2">
        <f>IF(OR(report!J146="",report!J147=""),NA(),report!J146/report!J147-1)</f>
        <v>1.8266894627913199E-2</v>
      </c>
      <c r="G146" s="2">
        <f>IF(OR(report!L146="",report!L147=""),NA(),report!L146/report!L147-1)</f>
        <v>4.6171549120199495E-2</v>
      </c>
      <c r="H146" s="2">
        <f>IF(OR(report!N146="",report!N147=""),NA(),report!N146/report!N147-1)</f>
        <v>4.3487714720591431E-3</v>
      </c>
      <c r="I146" s="2">
        <f>IF(OR(report!P146="",report!P147=""),NA(),report!P146/report!P147-1)</f>
        <v>9.1069151049114616E-3</v>
      </c>
      <c r="J146" s="2">
        <f>IF(OR(report!R146="",report!R147=""),NA(),report!R146/report!R147-1)</f>
        <v>0.12165768120677445</v>
      </c>
      <c r="K146" s="2">
        <f>IF(OR(report!T146="",report!T147=""),NA(),report!T146/report!T147-1)</f>
        <v>-4.8854301772589648E-2</v>
      </c>
      <c r="L146" s="2">
        <f>IF(OR(report!V146="",report!V147=""),NA(),report!V146/report!V147-1)</f>
        <v>3.3378056640753773E-3</v>
      </c>
    </row>
    <row r="147" spans="1:12" x14ac:dyDescent="0.75">
      <c r="A147" s="1">
        <f>report!A147</f>
        <v>43187.041250000002</v>
      </c>
      <c r="B147" s="2">
        <f>IF(OR(report!B147="",report!B148=""),NA(),report!B147/report!B148-1)</f>
        <v>-8.6147484493452775E-2</v>
      </c>
      <c r="C147" s="2">
        <f>IF(OR(report!D147="",report!D148=""),NA(),report!D147/report!D148-1)</f>
        <v>2.8205128205128105E-2</v>
      </c>
      <c r="D147" s="2">
        <f>IF(OR(report!F147="",report!F148=""),NA(),report!F147/report!F148-1)</f>
        <v>1.5074353228763382E-2</v>
      </c>
      <c r="E147" s="2">
        <f>IF(OR(report!H147="",report!H148=""),NA(),report!H147/report!H148-1)</f>
        <v>-7.6642334723373118E-2</v>
      </c>
      <c r="F147" s="2">
        <f>IF(OR(report!J147="",report!J148=""),NA(),report!J147/report!J148-1)</f>
        <v>-5.0333276363014878E-2</v>
      </c>
      <c r="G147" s="2">
        <f>IF(OR(report!L147="",report!L148=""),NA(),report!L147/report!L148-1)</f>
        <v>-8.6941294926235702E-2</v>
      </c>
      <c r="H147" s="2">
        <f>IF(OR(report!N147="",report!N148=""),NA(),report!N147/report!N148-1)</f>
        <v>2.7250390886754516E-2</v>
      </c>
      <c r="I147" s="2">
        <f>IF(OR(report!P147="",report!P148=""),NA(),report!P147/report!P148-1)</f>
        <v>-8.8935408822510276E-3</v>
      </c>
      <c r="J147" s="2">
        <f>IF(OR(report!R147="",report!R148=""),NA(),report!R147/report!R148-1)</f>
        <v>-6.4401080144698697E-2</v>
      </c>
      <c r="K147" s="2">
        <f>IF(OR(report!T147="",report!T148=""),NA(),report!T147/report!T148-1)</f>
        <v>-0.10987107946892438</v>
      </c>
      <c r="L147" s="2">
        <f>IF(OR(report!V147="",report!V148=""),NA(),report!V147/report!V148-1)</f>
        <v>-4.605905556263612E-3</v>
      </c>
    </row>
    <row r="148" spans="1:12" x14ac:dyDescent="0.75">
      <c r="A148" s="1">
        <f>report!A148</f>
        <v>43220.041250000002</v>
      </c>
      <c r="B148" s="2">
        <f>IF(OR(report!B148="",report!B149=""),NA(),report!B148/report!B149-1)</f>
        <v>0.14372044140830265</v>
      </c>
      <c r="C148" s="2">
        <f>IF(OR(report!D148="",report!D149=""),NA(),report!D148/report!D149-1)</f>
        <v>-1.3490725126475533E-2</v>
      </c>
      <c r="D148" s="2">
        <f>IF(OR(report!F148="",report!F149=""),NA(),report!F148/report!F149-1)</f>
        <v>1.5655172413793217E-2</v>
      </c>
      <c r="E148" s="2">
        <f>IF(OR(report!H148="",report!H149=""),NA(),report!H148/report!H149-1)</f>
        <v>0.12980186224573664</v>
      </c>
      <c r="F148" s="2">
        <f>IF(OR(report!J148="",report!J149=""),NA(),report!J148/report!J149-1)</f>
        <v>0.10188323917137465</v>
      </c>
      <c r="G148" s="2">
        <f>IF(OR(report!L148="",report!L149=""),NA(),report!L148/report!L149-1)</f>
        <v>9.2182644035381234E-2</v>
      </c>
      <c r="H148" s="2">
        <f>IF(OR(report!N148="",report!N149=""),NA(),report!N148/report!N149-1)</f>
        <v>0.13542987572914034</v>
      </c>
      <c r="I148" s="2">
        <f>IF(OR(report!P148="",report!P149=""),NA(),report!P148/report!P149-1)</f>
        <v>2.2597169749050572E-2</v>
      </c>
      <c r="J148" s="2">
        <f>IF(OR(report!R148="",report!R149=""),NA(),report!R148/report!R149-1)</f>
        <v>0.16522203752077891</v>
      </c>
      <c r="K148" s="2">
        <f>IF(OR(report!T148="",report!T149=""),NA(),report!T148/report!T149-1)</f>
        <v>3.8154214942069498E-2</v>
      </c>
      <c r="L148" s="2">
        <f>IF(OR(report!V148="",report!V149=""),NA(),report!V148/report!V149-1)</f>
        <v>1.0062522668542906E-2</v>
      </c>
    </row>
    <row r="149" spans="1:12" x14ac:dyDescent="0.75">
      <c r="A149" s="1">
        <f>report!A149</f>
        <v>43251.041250000002</v>
      </c>
      <c r="B149" s="2">
        <f>IF(OR(report!B149="",report!B150=""),NA(),report!B149/report!B150-1)</f>
        <v>-1.6283277332644008E-2</v>
      </c>
      <c r="C149" s="2">
        <f>IF(OR(report!D149="",report!D150=""),NA(),report!D149/report!D150-1)</f>
        <v>-9.1883614088820953E-2</v>
      </c>
      <c r="D149" s="2">
        <f>IF(OR(report!F149="",report!F150=""),NA(),report!F149/report!F150-1)</f>
        <v>-4.6052631578947345E-2</v>
      </c>
      <c r="E149" s="2">
        <f>IF(OR(report!H149="",report!H150=""),NA(),report!H149/report!H150-1)</f>
        <v>-7.5860569278680456E-2</v>
      </c>
      <c r="F149" s="2">
        <f>IF(OR(report!J149="",report!J150=""),NA(),report!J149/report!J150-1)</f>
        <v>-9.2850431365849362E-2</v>
      </c>
      <c r="G149" s="2">
        <f>IF(OR(report!L149="",report!L150=""),NA(),report!L149/report!L150-1)</f>
        <v>-0.13894606834088097</v>
      </c>
      <c r="H149" s="2">
        <f>IF(OR(report!N149="",report!N150=""),NA(),report!N149/report!N150-1)</f>
        <v>-5.8050645007166723E-2</v>
      </c>
      <c r="I149" s="2">
        <f>IF(OR(report!P149="",report!P150=""),NA(),report!P149/report!P150-1)</f>
        <v>-1.0730249199586206E-2</v>
      </c>
      <c r="J149" s="2">
        <f>IF(OR(report!R149="",report!R150=""),NA(),report!R149/report!R150-1)</f>
        <v>-5.381417818222678E-2</v>
      </c>
      <c r="K149" s="2">
        <f>IF(OR(report!T149="",report!T150=""),NA(),report!T149/report!T150-1)</f>
        <v>-4.3926661573720382E-2</v>
      </c>
      <c r="L149" s="2">
        <f>IF(OR(report!V149="",report!V150=""),NA(),report!V149/report!V150-1)</f>
        <v>-8.2650147132760088E-3</v>
      </c>
    </row>
    <row r="150" spans="1:12" x14ac:dyDescent="0.75">
      <c r="A150" s="1">
        <f>report!A150</f>
        <v>43280.041250000002</v>
      </c>
      <c r="B150" s="2">
        <f>IF(OR(report!B150="",report!B151=""),NA(),report!B150/report!B151-1)</f>
        <v>-2.4457892082702992E-2</v>
      </c>
      <c r="C150" s="2">
        <f>IF(OR(report!D150="",report!D151=""),NA(),report!D150/report!D151-1)</f>
        <v>-5.9755219582433461E-2</v>
      </c>
      <c r="D150" s="2">
        <f>IF(OR(report!F150="",report!F151=""),NA(),report!F150/report!F151-1)</f>
        <v>-3.1230082855321917E-2</v>
      </c>
      <c r="E150" s="2">
        <f>IF(OR(report!H150="",report!H151=""),NA(),report!H150/report!H151-1)</f>
        <v>4.411764977396393E-2</v>
      </c>
      <c r="F150" s="2">
        <f>IF(OR(report!J150="",report!J151=""),NA(),report!J150/report!J151-1)</f>
        <v>-9.9184364419821591E-2</v>
      </c>
      <c r="G150" s="2">
        <f>IF(OR(report!L150="",report!L151=""),NA(),report!L150/report!L151-1)</f>
        <v>6.8811142430773575E-3</v>
      </c>
      <c r="H150" s="2">
        <f>IF(OR(report!N150="",report!N151=""),NA(),report!N150/report!N151-1)</f>
        <v>3.3835514941960909E-2</v>
      </c>
      <c r="I150" s="2">
        <f>IF(OR(report!P150="",report!P151=""),NA(),report!P150/report!P151-1)</f>
        <v>-3.3542004459874097E-2</v>
      </c>
      <c r="J150" s="2">
        <f>IF(OR(report!R150="",report!R151=""),NA(),report!R150/report!R151-1)</f>
        <v>0.12667320654409675</v>
      </c>
      <c r="K150" s="2">
        <f>IF(OR(report!T150="",report!T151=""),NA(),report!T150/report!T151-1)</f>
        <v>-3.8030497887194592E-2</v>
      </c>
      <c r="L150" s="2">
        <f>IF(OR(report!V150="",report!V151=""),NA(),report!V150/report!V151-1)</f>
        <v>1.7591822135791801E-3</v>
      </c>
    </row>
    <row r="151" spans="1:12" x14ac:dyDescent="0.75">
      <c r="A151" s="1">
        <f>report!A151</f>
        <v>43312.041250000002</v>
      </c>
      <c r="B151" s="2">
        <f>IF(OR(report!B151="",report!B152=""),NA(),report!B151/report!B152-1)</f>
        <v>-5.7658561042869261E-3</v>
      </c>
      <c r="C151" s="2">
        <f>IF(OR(report!D151="",report!D152=""),NA(),report!D151/report!D152-1)</f>
        <v>2.5849335302806642E-2</v>
      </c>
      <c r="D151" s="2">
        <f>IF(OR(report!F151="",report!F152=""),NA(),report!F151/report!F152-1)</f>
        <v>6.0135135135135132E-2</v>
      </c>
      <c r="E151" s="2">
        <f>IF(OR(report!H151="",report!H152=""),NA(),report!H151/report!H152-1)</f>
        <v>-0.10784661570872323</v>
      </c>
      <c r="F151" s="2">
        <f>IF(OR(report!J151="",report!J152=""),NA(),report!J151/report!J152-1)</f>
        <v>-2.6859028470569424E-3</v>
      </c>
      <c r="G151" s="2">
        <f>IF(OR(report!L151="",report!L152=""),NA(),report!L151/report!L152-1)</f>
        <v>-3.3464160297459467E-3</v>
      </c>
      <c r="H151" s="2">
        <f>IF(OR(report!N151="",report!N152=""),NA(),report!N151/report!N152-1)</f>
        <v>-1.4602092966658597E-2</v>
      </c>
      <c r="I151" s="2">
        <f>IF(OR(report!P151="",report!P152=""),NA(),report!P151/report!P152-1)</f>
        <v>1.9922686764574982E-2</v>
      </c>
      <c r="J151" s="2">
        <f>IF(OR(report!R151="",report!R152=""),NA(),report!R151/report!R152-1)</f>
        <v>-2.366607964902534E-2</v>
      </c>
      <c r="K151" s="2">
        <f>IF(OR(report!T151="",report!T152=""),NA(),report!T151/report!T152-1)</f>
        <v>2.8922495274102067E-2</v>
      </c>
      <c r="L151" s="2">
        <f>IF(OR(report!V151="",report!V152=""),NA(),report!V151/report!V152-1)</f>
        <v>2.7770311825039418E-3</v>
      </c>
    </row>
    <row r="152" spans="1:12" x14ac:dyDescent="0.75">
      <c r="A152" s="1">
        <f>report!A152</f>
        <v>43343.041250000002</v>
      </c>
      <c r="B152" s="2">
        <f>IF(OR(report!B152="",report!B153=""),NA(),report!B152/report!B153-1)</f>
        <v>-5.0112753695807921E-4</v>
      </c>
      <c r="C152" s="2">
        <f>IF(OR(report!D152="",report!D153=""),NA(),report!D152/report!D153-1)</f>
        <v>3.0441400304414001E-2</v>
      </c>
      <c r="D152" s="2">
        <f>IF(OR(report!F152="",report!F153=""),NA(),report!F152/report!F153-1)</f>
        <v>7.7624948930954396E-3</v>
      </c>
      <c r="E152" s="2">
        <f>IF(OR(report!H152="",report!H153=""),NA(),report!H152/report!H153-1)</f>
        <v>-3.504741255355126E-2</v>
      </c>
      <c r="F152" s="2">
        <f>IF(OR(report!J152="",report!J153=""),NA(),report!J152/report!J153-1)</f>
        <v>-3.6881005173688197E-2</v>
      </c>
      <c r="G152" s="2">
        <f>IF(OR(report!L152="",report!L153=""),NA(),report!L152/report!L153-1)</f>
        <v>1.1745527503761899E-2</v>
      </c>
      <c r="H152" s="2">
        <f>IF(OR(report!N152="",report!N153=""),NA(),report!N152/report!N153-1)</f>
        <v>-2.9293645168910865E-2</v>
      </c>
      <c r="I152" s="2">
        <f>IF(OR(report!P152="",report!P153=""),NA(),report!P152/report!P153-1)</f>
        <v>9.9098967816262373E-3</v>
      </c>
      <c r="J152" s="2">
        <f>IF(OR(report!R152="",report!R153=""),NA(),report!R152/report!R153-1)</f>
        <v>4.0326333095512812E-3</v>
      </c>
      <c r="K152" s="2">
        <f>IF(OR(report!T152="",report!T153=""),NA(),report!T152/report!T153-1)</f>
        <v>-7.2418025600561098E-2</v>
      </c>
      <c r="L152" s="2">
        <f>IF(OR(report!V152="",report!V153=""),NA(),report!V152/report!V153-1)</f>
        <v>3.8155874351448738E-3</v>
      </c>
    </row>
    <row r="153" spans="1:12" x14ac:dyDescent="0.75">
      <c r="A153" s="1">
        <f>report!A153</f>
        <v>43371.041250000002</v>
      </c>
      <c r="B153" s="2">
        <f>IF(OR(report!B153="",report!B154=""),NA(),report!B153/report!B154-1)</f>
        <v>4.8883048620236513E-2</v>
      </c>
      <c r="C153" s="2">
        <f>IF(OR(report!D153="",report!D154=""),NA(),report!D153/report!D154-1)</f>
        <v>0.29585798816568043</v>
      </c>
      <c r="D153" s="2">
        <f>IF(OR(report!F153="",report!F154=""),NA(),report!F153/report!F154-1)</f>
        <v>-1.4362416107382425E-2</v>
      </c>
      <c r="E153" s="2">
        <f>IF(OR(report!H153="",report!H154=""),NA(),report!H153/report!H154-1)</f>
        <v>0.21737578078619135</v>
      </c>
      <c r="F153" s="2">
        <f>IF(OR(report!J153="",report!J154=""),NA(),report!J153/report!J154-1)</f>
        <v>0.21062992125984259</v>
      </c>
      <c r="G153" s="2">
        <f>IF(OR(report!L153="",report!L154=""),NA(),report!L153/report!L154-1)</f>
        <v>0.12849056603773579</v>
      </c>
      <c r="H153" s="2">
        <f>IF(OR(report!N153="",report!N154=""),NA(),report!N153/report!N154-1)</f>
        <v>0.12162162162162149</v>
      </c>
      <c r="I153" s="2">
        <f>IF(OR(report!P153="",report!P154=""),NA(),report!P153/report!P154-1)</f>
        <v>0.12402383757011926</v>
      </c>
      <c r="J153" s="2">
        <f>IF(OR(report!R153="",report!R154=""),NA(),report!R153/report!R154-1)</f>
        <v>0.12598672720922099</v>
      </c>
      <c r="K153" s="2">
        <f>IF(OR(report!T153="",report!T154=""),NA(),report!T153/report!T154-1)</f>
        <v>9.9267540478026106E-2</v>
      </c>
      <c r="L153" s="2">
        <f>IF(OR(report!V153="",report!V154=""),NA(),report!V153/report!V154-1)</f>
        <v>5.5843226097573861E-4</v>
      </c>
    </row>
    <row r="154" spans="1:12" x14ac:dyDescent="0.75">
      <c r="A154" s="1">
        <f>report!A154</f>
        <v>43404.041250000002</v>
      </c>
      <c r="B154" s="2">
        <f>IF(OR(report!B154="",report!B155=""),NA(),report!B154/report!B155-1)</f>
        <v>-2.4358974358974383E-2</v>
      </c>
      <c r="C154" s="2">
        <f>IF(OR(report!D154="",report!D155=""),NA(),report!D154/report!D155-1)</f>
        <v>-3.1518624641833859E-2</v>
      </c>
      <c r="D154" s="2">
        <f>IF(OR(report!F154="",report!F155=""),NA(),report!F154/report!F155-1)</f>
        <v>-3.2467532467532423E-2</v>
      </c>
      <c r="E154" s="2">
        <f>IF(OR(report!H154="",report!H155=""),NA(),report!H154/report!H155-1)</f>
        <v>0.19091489026021091</v>
      </c>
      <c r="F154" s="2">
        <f>IF(OR(report!J154="",report!J155=""),NA(),report!J154/report!J155-1)</f>
        <v>0.19978529253891564</v>
      </c>
      <c r="G154" s="2">
        <f>IF(OR(report!L154="",report!L155=""),NA(),report!L154/report!L155-1)</f>
        <v>-4.8900852400179495E-2</v>
      </c>
      <c r="H154" s="2">
        <f>IF(OR(report!N154="",report!N155=""),NA(),report!N154/report!N155-1)</f>
        <v>-9.6913137114142067E-2</v>
      </c>
      <c r="I154" s="2">
        <f>IF(OR(report!P154="",report!P155=""),NA(),report!P154/report!P155-1)</f>
        <v>-2.6919224334954861E-2</v>
      </c>
      <c r="J154" s="2">
        <f>IF(OR(report!R154="",report!R155=""),NA(),report!R154/report!R155-1)</f>
        <v>0.23469035708124908</v>
      </c>
      <c r="K154" s="2">
        <f>IF(OR(report!T154="",report!T155=""),NA(),report!T154/report!T155-1)</f>
        <v>3.059197457290419E-2</v>
      </c>
      <c r="L154" s="2">
        <f>IF(OR(report!V154="",report!V155=""),NA(),report!V154/report!V155-1)</f>
        <v>-8.2715451802835016E-3</v>
      </c>
    </row>
    <row r="155" spans="1:12" x14ac:dyDescent="0.75">
      <c r="A155" s="1">
        <f>report!A155</f>
        <v>43434.041250000002</v>
      </c>
      <c r="B155" s="2">
        <f>IF(OR(report!B155="",report!B156=""),NA(),report!B155/report!B156-1)</f>
        <v>-3.8314176245209941E-3</v>
      </c>
      <c r="C155" s="2">
        <f>IF(OR(report!D155="",report!D156=""),NA(),report!D155/report!D156-1)</f>
        <v>0.10326659641728142</v>
      </c>
      <c r="D155" s="2">
        <f>IF(OR(report!F155="",report!F156=""),NA(),report!F155/report!F156-1)</f>
        <v>3.3487685390242383E-2</v>
      </c>
      <c r="E155" s="2">
        <f>IF(OR(report!H155="",report!H156=""),NA(),report!H155/report!H156-1)</f>
        <v>-0.1171796828742514</v>
      </c>
      <c r="F155" s="2">
        <f>IF(OR(report!J155="",report!J156=""),NA(),report!J155/report!J156-1)</f>
        <v>-2.7458759657548515E-2</v>
      </c>
      <c r="G155" s="2">
        <f>IF(OR(report!L155="",report!L156=""),NA(),report!L155/report!L156-1)</f>
        <v>8.9806915132473186E-4</v>
      </c>
      <c r="H155" s="2">
        <f>IF(OR(report!N155="",report!N156=""),NA(),report!N155/report!N156-1)</f>
        <v>1.9268292682926846E-2</v>
      </c>
      <c r="I155" s="2">
        <f>IF(OR(report!P155="",report!P156=""),NA(),report!P155/report!P156-1)</f>
        <v>-4.7325384688705729E-2</v>
      </c>
      <c r="J155" s="2">
        <f>IF(OR(report!R155="",report!R156=""),NA(),report!R155/report!R156-1)</f>
        <v>-3.3591731266149893E-2</v>
      </c>
      <c r="K155" s="2">
        <f>IF(OR(report!T155="",report!T156=""),NA(),report!T155/report!T156-1)</f>
        <v>7.4044426655994755E-3</v>
      </c>
      <c r="L155" s="2">
        <f>IF(OR(report!V155="",report!V156=""),NA(),report!V155/report!V156-1)</f>
        <v>1.1365291671761479E-2</v>
      </c>
    </row>
    <row r="156" spans="1:12" x14ac:dyDescent="0.75">
      <c r="A156" s="1">
        <f>report!A156</f>
        <v>43465.041250000002</v>
      </c>
      <c r="B156" s="2">
        <f>IF(OR(report!B156="",report!B157=""),NA(),report!B156/report!B157-1)</f>
        <v>3.5440359693202694E-2</v>
      </c>
      <c r="C156" s="2">
        <f>IF(OR(report!D156="",report!D157=""),NA(),report!D156/report!D157-1)</f>
        <v>-8.1316553727008745E-2</v>
      </c>
      <c r="D156" s="2">
        <f>IF(OR(report!F156="",report!F157=""),NA(),report!F156/report!F157-1)</f>
        <v>3.4791666666666554E-2</v>
      </c>
      <c r="E156" s="2">
        <f>IF(OR(report!H156="",report!H157=""),NA(),report!H156/report!H157-1)</f>
        <v>-6.8694280887835579E-2</v>
      </c>
      <c r="F156" s="2">
        <f>IF(OR(report!J156="",report!J157=""),NA(),report!J156/report!J157-1)</f>
        <v>-9.7776940467219298E-2</v>
      </c>
      <c r="G156" s="2">
        <f>IF(OR(report!L156="",report!L157=""),NA(),report!L156/report!L157-1)</f>
        <v>-4.4082929132506332E-2</v>
      </c>
      <c r="H156" s="2">
        <f>IF(OR(report!N156="",report!N157=""),NA(),report!N156/report!N157-1)</f>
        <v>-1.7964071856287456E-2</v>
      </c>
      <c r="I156" s="2">
        <f>IF(OR(report!P156="",report!P157=""),NA(),report!P156/report!P157-1)</f>
        <v>-2.3496211117222332E-2</v>
      </c>
      <c r="J156" s="2">
        <f>IF(OR(report!R156="",report!R157=""),NA(),report!R156/report!R157-1)</f>
        <v>-8.0865734533614342E-2</v>
      </c>
      <c r="K156" s="2">
        <f>IF(OR(report!T156="",report!T157=""),NA(),report!T156/report!T157-1)</f>
        <v>-4.5816733067729487E-3</v>
      </c>
      <c r="L156" s="2">
        <f>IF(OR(report!V156="",report!V157=""),NA(),report!V156/report!V157-1)</f>
        <v>-4.2439929173236912E-3</v>
      </c>
    </row>
    <row r="157" spans="1:12" x14ac:dyDescent="0.75">
      <c r="A157" s="1">
        <f>report!A157</f>
        <v>43496.041250000002</v>
      </c>
      <c r="B157" s="2">
        <f>IF(OR(report!B157="",report!B158=""),NA(),report!B157/report!B158-1)</f>
        <v>-1.098613654198255E-2</v>
      </c>
      <c r="C157" s="2">
        <f>IF(OR(report!D157="",report!D158=""),NA(),report!D157/report!D158-1)</f>
        <v>9.1966173361522019E-2</v>
      </c>
      <c r="D157" s="2">
        <f>IF(OR(report!F157="",report!F158=""),NA(),report!F157/report!F158-1)</f>
        <v>0</v>
      </c>
      <c r="E157" s="2">
        <f>IF(OR(report!H157="",report!H158=""),NA(),report!H157/report!H158-1)</f>
        <v>-4.4376392371870632E-2</v>
      </c>
      <c r="F157" s="2">
        <f>IF(OR(report!J157="",report!J158=""),NA(),report!J157/report!J158-1)</f>
        <v>1.2494039103481125E-2</v>
      </c>
      <c r="G157" s="2">
        <f>IF(OR(report!L157="",report!L158=""),NA(),report!L157/report!L158-1)</f>
        <v>0.11554299942539736</v>
      </c>
      <c r="H157" s="2">
        <f>IF(OR(report!N157="",report!N158=""),NA(),report!N157/report!N158-1)</f>
        <v>-2.2477171622570791E-2</v>
      </c>
      <c r="I157" s="2">
        <f>IF(OR(report!P157="",report!P158=""),NA(),report!P157/report!P158-1)</f>
        <v>2.4719088375382059E-2</v>
      </c>
      <c r="J157" s="2">
        <f>IF(OR(report!R157="",report!R158=""),NA(),report!R157/report!R158-1)</f>
        <v>2.2122161315583311E-2</v>
      </c>
      <c r="K157" s="2">
        <f>IF(OR(report!T157="",report!T158=""),NA(),report!T157/report!T158-1)</f>
        <v>7.0210631895686326E-3</v>
      </c>
      <c r="L157" s="2">
        <f>IF(OR(report!V157="",report!V158=""),NA(),report!V157/report!V158-1)</f>
        <v>-2.9451565078143505E-3</v>
      </c>
    </row>
    <row r="158" spans="1:12" x14ac:dyDescent="0.75">
      <c r="A158" s="1">
        <f>report!A158</f>
        <v>43524.041250000002</v>
      </c>
      <c r="B158" s="2">
        <f>IF(OR(report!B158="",report!B159=""),NA(),report!B158/report!B159-1)</f>
        <v>-5.7910300640709789E-2</v>
      </c>
      <c r="C158" s="2">
        <f>IF(OR(report!D158="",report!D159=""),NA(),report!D158/report!D159-1)</f>
        <v>4.299889746416774E-2</v>
      </c>
      <c r="D158" s="2">
        <f>IF(OR(report!F158="",report!F159=""),NA(),report!F158/report!F159-1)</f>
        <v>-3.3557046979865723E-2</v>
      </c>
      <c r="E158" s="2">
        <f>IF(OR(report!H158="",report!H159=""),NA(),report!H158/report!H159-1)</f>
        <v>4.2249787710815001E-2</v>
      </c>
      <c r="F158" s="2">
        <f>IF(OR(report!J158="",report!J159=""),NA(),report!J158/report!J159-1)</f>
        <v>-6.5378055713474215E-3</v>
      </c>
      <c r="G158" s="2">
        <f>IF(OR(report!L158="",report!L159=""),NA(),report!L158/report!L159-1)</f>
        <v>5.3683148335015307E-2</v>
      </c>
      <c r="H158" s="2">
        <f>IF(OR(report!N158="",report!N159=""),NA(),report!N158/report!N159-1)</f>
        <v>-1.3625866050808177E-2</v>
      </c>
      <c r="I158" s="2">
        <f>IF(OR(report!P158="",report!P159=""),NA(),report!P158/report!P159-1)</f>
        <v>-5.4484912170639888E-2</v>
      </c>
      <c r="J158" s="2">
        <f>IF(OR(report!R158="",report!R159=""),NA(),report!R158/report!R159-1)</f>
        <v>5.2848544809959597E-2</v>
      </c>
      <c r="K158" s="2">
        <f>IF(OR(report!T158="",report!T159=""),NA(),report!T158/report!T159-1)</f>
        <v>-3.9869029275808932E-2</v>
      </c>
      <c r="L158" s="2">
        <f>IF(OR(report!V158="",report!V159=""),NA(),report!V158/report!V159-1)</f>
        <v>-3.4423539765261468E-3</v>
      </c>
    </row>
    <row r="159" spans="1:12" x14ac:dyDescent="0.75">
      <c r="A159" s="1">
        <f>report!A159</f>
        <v>43553.041250000002</v>
      </c>
      <c r="B159" s="2">
        <f>IF(OR(report!B159="",report!B160=""),NA(),report!B159/report!B160-1)</f>
        <v>-3.8844149692089047E-2</v>
      </c>
      <c r="C159" s="2">
        <f>IF(OR(report!D159="",report!D160=""),NA(),report!D159/report!D160-1)</f>
        <v>3.4207525655644222E-2</v>
      </c>
      <c r="D159" s="2">
        <f>IF(OR(report!F159="",report!F160=""),NA(),report!F159/report!F160-1)</f>
        <v>1.3605442176870763E-2</v>
      </c>
      <c r="E159" s="2">
        <f>IF(OR(report!H159="",report!H160=""),NA(),report!H159/report!H160-1)</f>
        <v>-0.10604100199508681</v>
      </c>
      <c r="F159" s="2">
        <f>IF(OR(report!J159="",report!J160=""),NA(),report!J159/report!J160-1)</f>
        <v>-0.11925227405491101</v>
      </c>
      <c r="G159" s="2">
        <f>IF(OR(report!L159="",report!L160=""),NA(),report!L159/report!L160-1)</f>
        <v>4.5965486305345804E-2</v>
      </c>
      <c r="H159" s="2">
        <f>IF(OR(report!N159="",report!N160=""),NA(),report!N159/report!N160-1)</f>
        <v>6.5714988924439943E-2</v>
      </c>
      <c r="I159" s="2">
        <f>IF(OR(report!P159="",report!P160=""),NA(),report!P159/report!P160-1)</f>
        <v>-6.4361619339514675E-3</v>
      </c>
      <c r="J159" s="2">
        <f>IF(OR(report!R159="",report!R160=""),NA(),report!R159/report!R160-1)</f>
        <v>0.11495150985889602</v>
      </c>
      <c r="K159" s="2">
        <f>IF(OR(report!T159="",report!T160=""),NA(),report!T159/report!T160-1)</f>
        <v>-6.8030874169807909E-2</v>
      </c>
      <c r="L159" s="2">
        <f>IF(OR(report!V159="",report!V160=""),NA(),report!V159/report!V160-1)</f>
        <v>-2.1947630066088131E-4</v>
      </c>
    </row>
    <row r="160" spans="1:12" x14ac:dyDescent="0.75">
      <c r="A160" s="1">
        <f>report!A160</f>
        <v>43585.041250000002</v>
      </c>
      <c r="B160" s="2">
        <f>IF(OR(report!B160="",report!B161=""),NA(),report!B160/report!B161-1)</f>
        <v>6.7509481668773796E-2</v>
      </c>
      <c r="C160" s="2">
        <f>IF(OR(report!D160="",report!D161=""),NA(),report!D160/report!D161-1)</f>
        <v>9.7622027534417954E-2</v>
      </c>
      <c r="D160" s="2">
        <f>IF(OR(report!F160="",report!F161=""),NA(),report!F160/report!F161-1)</f>
        <v>0</v>
      </c>
      <c r="E160" s="2">
        <f>IF(OR(report!H160="",report!H161=""),NA(),report!H160/report!H161-1)</f>
        <v>-1.0920793576307375E-2</v>
      </c>
      <c r="F160" s="2">
        <f>IF(OR(report!J160="",report!J161=""),NA(),report!J160/report!J161-1)</f>
        <v>0.1242142790130405</v>
      </c>
      <c r="G160" s="2">
        <f>IF(OR(report!L160="",report!L161=""),NA(),report!L160/report!L161-1)</f>
        <v>1.3803434808196569E-2</v>
      </c>
      <c r="H160" s="2">
        <f>IF(OR(report!N160="",report!N161=""),NA(),report!N160/report!N161-1)</f>
        <v>1.1955168119551773E-2</v>
      </c>
      <c r="I160" s="2">
        <f>IF(OR(report!P160="",report!P161=""),NA(),report!P160/report!P161-1)</f>
        <v>-7.2984447357376303E-2</v>
      </c>
      <c r="J160" s="2">
        <f>IF(OR(report!R160="",report!R161=""),NA(),report!R160/report!R161-1)</f>
        <v>-7.9339747389540749E-3</v>
      </c>
      <c r="K160" s="2">
        <f>IF(OR(report!T160="",report!T161=""),NA(),report!T160/report!T161-1)</f>
        <v>7.2319652865666662E-3</v>
      </c>
      <c r="L160" s="2">
        <f>IF(OR(report!V160="",report!V161=""),NA(),report!V160/report!V161-1)</f>
        <v>1.1631739688813925E-2</v>
      </c>
    </row>
    <row r="161" spans="1:12" x14ac:dyDescent="0.75">
      <c r="A161" s="1">
        <f>report!A161</f>
        <v>43616.041250000002</v>
      </c>
      <c r="B161" s="2">
        <f>IF(OR(report!B161="",report!B162=""),NA(),report!B161/report!B162-1)</f>
        <v>-1.1991006744941357E-2</v>
      </c>
      <c r="C161" s="2">
        <f>IF(OR(report!D161="",report!D162=""),NA(),report!D161/report!D162-1)</f>
        <v>-1.2360939431396711E-2</v>
      </c>
      <c r="D161" s="2">
        <f>IF(OR(report!F161="",report!F162=""),NA(),report!F161/report!F162-1)</f>
        <v>3.5211267605633756E-2</v>
      </c>
      <c r="E161" s="2">
        <f>IF(OR(report!H161="",report!H162=""),NA(),report!H161/report!H162-1)</f>
        <v>-4.0474284570742425E-2</v>
      </c>
      <c r="F161" s="2">
        <f>IF(OR(report!J161="",report!J162=""),NA(),report!J161/report!J162-1)</f>
        <v>-4.28340517241379E-2</v>
      </c>
      <c r="G161" s="2">
        <f>IF(OR(report!L161="",report!L162=""),NA(),report!L161/report!L162-1)</f>
        <v>3.7581880759409492E-2</v>
      </c>
      <c r="H161" s="2">
        <f>IF(OR(report!N161="",report!N162=""),NA(),report!N161/report!N162-1)</f>
        <v>-2.3826890347678154E-2</v>
      </c>
      <c r="I161" s="2">
        <f>IF(OR(report!P161="",report!P162=""),NA(),report!P161/report!P162-1)</f>
        <v>-9.5264609910524767E-3</v>
      </c>
      <c r="J161" s="2">
        <f>IF(OR(report!R161="",report!R162=""),NA(),report!R161/report!R162-1)</f>
        <v>-0.1167539267015707</v>
      </c>
      <c r="K161" s="2">
        <f>IF(OR(report!T161="",report!T162=""),NA(),report!T161/report!T162-1)</f>
        <v>5.553435114503813E-2</v>
      </c>
      <c r="L161" s="2">
        <f>IF(OR(report!V161="",report!V162=""),NA(),report!V161/report!V162-1)</f>
        <v>3.1394062966895175E-2</v>
      </c>
    </row>
    <row r="162" spans="1:12" x14ac:dyDescent="0.75">
      <c r="A162" s="1">
        <f>report!A162</f>
        <v>43644.041250000002</v>
      </c>
      <c r="B162" s="2">
        <f>IF(OR(report!B162="",report!B163=""),NA(),report!B162/report!B163-1)</f>
        <v>9.6712328767123212E-2</v>
      </c>
      <c r="C162" s="2">
        <f>IF(OR(report!D162="",report!D163=""),NA(),report!D162/report!D163-1)</f>
        <v>0.18795888399412641</v>
      </c>
      <c r="D162" s="2">
        <f>IF(OR(report!F162="",report!F163=""),NA(),report!F162/report!F163-1)</f>
        <v>-1.388888888888884E-2</v>
      </c>
      <c r="E162" s="2">
        <f>IF(OR(report!H162="",report!H163=""),NA(),report!H162/report!H163-1)</f>
        <v>3.9363527637668261E-2</v>
      </c>
      <c r="F162" s="2">
        <f>IF(OR(report!J162="",report!J163=""),NA(),report!J162/report!J163-1)</f>
        <v>0.15422885572139289</v>
      </c>
      <c r="G162" s="2">
        <f>IF(OR(report!L162="",report!L163=""),NA(),report!L162/report!L163-1)</f>
        <v>2.5678984228207025E-2</v>
      </c>
      <c r="H162" s="2">
        <f>IF(OR(report!N162="",report!N163=""),NA(),report!N162/report!N163-1)</f>
        <v>2.5430067314884175E-2</v>
      </c>
      <c r="I162" s="2">
        <f>IF(OR(report!P162="",report!P163=""),NA(),report!P162/report!P163-1)</f>
        <v>-0.11368700014989319</v>
      </c>
      <c r="J162" s="2">
        <f>IF(OR(report!R162="",report!R163=""),NA(),report!R162/report!R163-1)</f>
        <v>0.39974068436777732</v>
      </c>
      <c r="K162" s="2">
        <f>IF(OR(report!T162="",report!T163=""),NA(),report!T162/report!T163-1)</f>
        <v>-7.3222497347011029E-2</v>
      </c>
      <c r="L162" s="2">
        <f>IF(OR(report!V162="",report!V163=""),NA(),report!V162/report!V163-1)</f>
        <v>-2.8280975652006379E-2</v>
      </c>
    </row>
    <row r="163" spans="1:12" x14ac:dyDescent="0.75">
      <c r="A163" s="1">
        <f>report!A163</f>
        <v>43677.041250000002</v>
      </c>
      <c r="B163" s="2">
        <f>IF(OR(report!B163="",report!B164=""),NA(),report!B163/report!B164-1)</f>
        <v>4.0775591673795297E-2</v>
      </c>
      <c r="C163" s="2">
        <f>IF(OR(report!D163="",report!D164=""),NA(),report!D163/report!D164-1)</f>
        <v>-8.8353413654618462E-2</v>
      </c>
      <c r="D163" s="2">
        <f>IF(OR(report!F163="",report!F164=""),NA(),report!F163/report!F164-1)</f>
        <v>-6.2111801242236142E-3</v>
      </c>
      <c r="E163" s="2">
        <f>IF(OR(report!H163="",report!H164=""),NA(),report!H163/report!H164-1)</f>
        <v>5.8054393305440044E-3</v>
      </c>
      <c r="F163" s="2">
        <f>IF(OR(report!J163="",report!J164=""),NA(),report!J163/report!J164-1)</f>
        <v>-0.10517529215358923</v>
      </c>
      <c r="G163" s="2">
        <f>IF(OR(report!L163="",report!L164=""),NA(),report!L163/report!L164-1)</f>
        <v>-5.9091396121290107E-2</v>
      </c>
      <c r="H163" s="2">
        <f>IF(OR(report!N163="",report!N164=""),NA(),report!N163/report!N164-1)</f>
        <v>-3.9971278123504095E-2</v>
      </c>
      <c r="I163" s="2">
        <f>IF(OR(report!P163="",report!P164=""),NA(),report!P163/report!P164-1)</f>
        <v>-2.8062464895573291E-2</v>
      </c>
      <c r="J163" s="2">
        <f>IF(OR(report!R163="",report!R164=""),NA(),report!R163/report!R164-1)</f>
        <v>-0.26277948632698866</v>
      </c>
      <c r="K163" s="2">
        <f>IF(OR(report!T163="",report!T164=""),NA(),report!T163/report!T164-1)</f>
        <v>-3.3491979552264795E-3</v>
      </c>
      <c r="L163" s="2">
        <f>IF(OR(report!V163="",report!V164=""),NA(),report!V163/report!V164-1)</f>
        <v>2.9959442750845833E-2</v>
      </c>
    </row>
    <row r="164" spans="1:12" x14ac:dyDescent="0.75">
      <c r="A164" s="1">
        <f>report!A164</f>
        <v>43707.041250000002</v>
      </c>
      <c r="B164" s="2">
        <f>IF(OR(report!B164="",report!B165=""),NA(),report!B164/report!B165-1)</f>
        <v>-2.556265629341492E-2</v>
      </c>
      <c r="C164" s="2">
        <f>IF(OR(report!D164="",report!D165=""),NA(),report!D164/report!D165-1)</f>
        <v>-2.8608582574772501E-2</v>
      </c>
      <c r="D164" s="2">
        <f>IF(OR(report!F164="",report!F165=""),NA(),report!F164/report!F165-1)</f>
        <v>-4.05526153000213E-3</v>
      </c>
      <c r="E164" s="2">
        <f>IF(OR(report!H164="",report!H165=""),NA(),report!H164/report!H165-1)</f>
        <v>6.8457082675090764E-3</v>
      </c>
      <c r="F164" s="2">
        <f>IF(OR(report!J164="",report!J165=""),NA(),report!J164/report!J165-1)</f>
        <v>1.6498538700857823E-2</v>
      </c>
      <c r="G164" s="2">
        <f>IF(OR(report!L164="",report!L165=""),NA(),report!L164/report!L165-1)</f>
        <v>-7.5666039417648823E-2</v>
      </c>
      <c r="H164" s="2">
        <f>IF(OR(report!N164="",report!N165=""),NA(),report!N164/report!N165-1)</f>
        <v>-9.5648015303684275E-4</v>
      </c>
      <c r="I164" s="2">
        <f>IF(OR(report!P164="",report!P165=""),NA(),report!P164/report!P165-1)</f>
        <v>3.4065103295205512E-2</v>
      </c>
      <c r="J164" s="2">
        <f>IF(OR(report!R164="",report!R165=""),NA(),report!R164/report!R165-1)</f>
        <v>-8.3945635207675062E-2</v>
      </c>
      <c r="K164" s="2">
        <f>IF(OR(report!T164="",report!T165=""),NA(),report!T164/report!T165-1)</f>
        <v>-2.9924760601915179E-2</v>
      </c>
      <c r="L164" s="2">
        <f>IF(OR(report!V164="",report!V165=""),NA(),report!V164/report!V165-1)</f>
        <v>1.5835187220988312E-2</v>
      </c>
    </row>
    <row r="165" spans="1:12" x14ac:dyDescent="0.75">
      <c r="A165" s="1">
        <f>report!A165</f>
        <v>43738.041250000002</v>
      </c>
      <c r="B165" s="2">
        <f>IF(OR(report!B165="",report!B166=""),NA(),report!B165/report!B166-1)</f>
        <v>6.9949636261892323E-3</v>
      </c>
      <c r="C165" s="2">
        <f>IF(OR(report!D165="",report!D166=""),NA(),report!D165/report!D166-1)</f>
        <v>6.3623789764868599E-2</v>
      </c>
      <c r="D165" s="2">
        <f>IF(OR(report!F165="",report!F166=""),NA(),report!F165/report!F166-1)</f>
        <v>3.9214285714285868E-2</v>
      </c>
      <c r="E165" s="2">
        <f>IF(OR(report!H165="",report!H166=""),NA(),report!H165/report!H166-1)</f>
        <v>-5.8409361364537893E-2</v>
      </c>
      <c r="F165" s="2">
        <f>IF(OR(report!J165="",report!J166=""),NA(),report!J165/report!J166-1)</f>
        <v>1.0190476190476083E-2</v>
      </c>
      <c r="G165" s="2">
        <f>IF(OR(report!L165="",report!L166=""),NA(),report!L165/report!L166-1)</f>
        <v>4.4587565023523901E-4</v>
      </c>
      <c r="H165" s="2">
        <f>IF(OR(report!N165="",report!N166=""),NA(),report!N165/report!N166-1)</f>
        <v>6.6564651874521763E-2</v>
      </c>
      <c r="I165" s="2">
        <f>IF(OR(report!P165="",report!P166=""),NA(),report!P165/report!P166-1)</f>
        <v>2.1655080643119939E-2</v>
      </c>
      <c r="J165" s="2">
        <f>IF(OR(report!R165="",report!R166=""),NA(),report!R165/report!R166-1)</f>
        <v>0.1378877144342403</v>
      </c>
      <c r="K165" s="2">
        <f>IF(OR(report!T165="",report!T166=""),NA(),report!T165/report!T166-1)</f>
        <v>1.2991512212021439E-2</v>
      </c>
      <c r="L165" s="2">
        <f>IF(OR(report!V165="",report!V166=""),NA(),report!V165/report!V166-1)</f>
        <v>6.3271764375769646E-3</v>
      </c>
    </row>
    <row r="166" spans="1:12" x14ac:dyDescent="0.75">
      <c r="A166" s="1">
        <f>report!A166</f>
        <v>43769.041250000002</v>
      </c>
      <c r="B166" s="2">
        <f>IF(OR(report!B166="",report!B167=""),NA(),report!B166/report!B167-1)</f>
        <v>5.739644970414215E-2</v>
      </c>
      <c r="C166" s="2">
        <f>IF(OR(report!D166="",report!D167=""),NA(),report!D166/report!D167-1)</f>
        <v>1.118881118881121E-2</v>
      </c>
      <c r="D166" s="2">
        <f>IF(OR(report!F166="",report!F167=""),NA(),report!F166/report!F167-1)</f>
        <v>7.1479628305937126E-4</v>
      </c>
      <c r="E166" s="2">
        <f>IF(OR(report!H166="",report!H167=""),NA(),report!H166/report!H167-1)</f>
        <v>1.453795462548424E-2</v>
      </c>
      <c r="F166" s="2">
        <f>IF(OR(report!J166="",report!J167=""),NA(),report!J166/report!J167-1)</f>
        <v>2.0011657276083117E-2</v>
      </c>
      <c r="G166" s="2">
        <f>IF(OR(report!L166="",report!L167=""),NA(),report!L166/report!L167-1)</f>
        <v>2.4619289340101602E-2</v>
      </c>
      <c r="H166" s="2">
        <f>IF(OR(report!N166="",report!N167=""),NA(),report!N166/report!N167-1)</f>
        <v>2.6439790575916167E-2</v>
      </c>
      <c r="I166" s="2">
        <f>IF(OR(report!P166="",report!P167=""),NA(),report!P166/report!P167-1)</f>
        <v>3.5781017669709314E-2</v>
      </c>
      <c r="J166" s="2">
        <f>IF(OR(report!R166="",report!R167=""),NA(),report!R166/report!R167-1)</f>
        <v>0.11355523396044376</v>
      </c>
      <c r="K166" s="2">
        <f>IF(OR(report!T166="",report!T167=""),NA(),report!T166/report!T167-1)</f>
        <v>5.9654919236417081E-2</v>
      </c>
      <c r="L166" s="2">
        <f>IF(OR(report!V166="",report!V167=""),NA(),report!V166/report!V167-1)</f>
        <v>-7.5323382410625861E-3</v>
      </c>
    </row>
    <row r="167" spans="1:12" x14ac:dyDescent="0.75">
      <c r="A167" s="1">
        <f>report!A167</f>
        <v>43798.041250000002</v>
      </c>
      <c r="B167" s="2">
        <f>IF(OR(report!B167="",report!B168=""),NA(),report!B167/report!B168-1)</f>
        <v>-1.8297995933778788E-2</v>
      </c>
      <c r="C167" s="2">
        <f>IF(OR(report!D167="",report!D168=""),NA(),report!D167/report!D168-1)</f>
        <v>9.8870056497175618E-3</v>
      </c>
      <c r="D167" s="2">
        <f>IF(OR(report!F167="",report!F168=""),NA(),report!F167/report!F168-1)</f>
        <v>-1.1307420494699572E-2</v>
      </c>
      <c r="E167" s="2">
        <f>IF(OR(report!H167="",report!H168=""),NA(),report!H167/report!H168-1)</f>
        <v>-0.11519116927048556</v>
      </c>
      <c r="F167" s="2">
        <f>IF(OR(report!J167="",report!J168=""),NA(),report!J167/report!J168-1)</f>
        <v>-2.5650733554188454E-2</v>
      </c>
      <c r="G167" s="2">
        <f>IF(OR(report!L167="",report!L168=""),NA(),report!L167/report!L168-1)</f>
        <v>1.4783907690722797E-2</v>
      </c>
      <c r="H167" s="2">
        <f>IF(OR(report!N167="",report!N168=""),NA(),report!N167/report!N168-1)</f>
        <v>1.676869842959805E-2</v>
      </c>
      <c r="I167" s="2">
        <f>IF(OR(report!P167="",report!P168=""),NA(),report!P167/report!P168-1)</f>
        <v>-1.1411013333333275E-2</v>
      </c>
      <c r="J167" s="2">
        <f>IF(OR(report!R167="",report!R168=""),NA(),report!R167/report!R168-1)</f>
        <v>4.5860451036779271E-2</v>
      </c>
      <c r="K167" s="2">
        <f>IF(OR(report!T167="",report!T168=""),NA(),report!T167/report!T168-1)</f>
        <v>6.0941828254847952E-3</v>
      </c>
      <c r="L167" s="2">
        <f>IF(OR(report!V167="",report!V168=""),NA(),report!V167/report!V168-1)</f>
        <v>-2.3955635587555868E-3</v>
      </c>
    </row>
    <row r="168" spans="1:12" x14ac:dyDescent="0.75">
      <c r="A168" s="1">
        <f>report!A168</f>
        <v>43830.041250000002</v>
      </c>
      <c r="B168" s="2">
        <f>IF(OR(report!B168="",report!B169=""),NA(),report!B168/report!B169-1)</f>
        <v>1.8337769890564903E-2</v>
      </c>
      <c r="C168" s="2">
        <f>IF(OR(report!D168="",report!D169=""),NA(),report!D168/report!D169-1)</f>
        <v>-6.8421052631578938E-2</v>
      </c>
      <c r="D168" s="2">
        <f>IF(OR(report!F168="",report!F169=""),NA(),report!F168/report!F169-1)</f>
        <v>-7.5163398692810413E-2</v>
      </c>
      <c r="E168" s="2">
        <f>IF(OR(report!H168="",report!H169=""),NA(),report!H168/report!H169-1)</f>
        <v>-3.7980645713796335E-2</v>
      </c>
      <c r="F168" s="2">
        <f>IF(OR(report!J168="",report!J169=""),NA(),report!J168/report!J169-1)</f>
        <v>-8.9930226548367576E-2</v>
      </c>
      <c r="G168" s="2">
        <f>IF(OR(report!L168="",report!L169=""),NA(),report!L168/report!L169-1)</f>
        <v>-3.3217131474103656E-2</v>
      </c>
      <c r="H168" s="2">
        <f>IF(OR(report!N168="",report!N169=""),NA(),report!N168/report!N169-1)</f>
        <v>2.1339023739663787E-3</v>
      </c>
      <c r="I168" s="2">
        <f>IF(OR(report!P168="",report!P169=""),NA(),report!P168/report!P169-1)</f>
        <v>-3.7721324095458031E-2</v>
      </c>
      <c r="J168" s="2">
        <f>IF(OR(report!R168="",report!R169=""),NA(),report!R168/report!R169-1)</f>
        <v>4.2559659522722892E-3</v>
      </c>
      <c r="K168" s="2">
        <f>IF(OR(report!T168="",report!T169=""),NA(),report!T168/report!T169-1)</f>
        <v>-1.2762078395624488E-2</v>
      </c>
      <c r="L168" s="2">
        <f>IF(OR(report!V168="",report!V169=""),NA(),report!V168/report!V169-1)</f>
        <v>2.2303860605481729E-2</v>
      </c>
    </row>
    <row r="169" spans="1:12" x14ac:dyDescent="0.75">
      <c r="A169" s="1">
        <f>report!A169</f>
        <v>43861.041250000002</v>
      </c>
      <c r="B169" s="2">
        <f>IF(OR(report!B169="",report!B170=""),NA(),report!B169/report!B170-1)</f>
        <v>0.13876726170427767</v>
      </c>
      <c r="C169" s="2">
        <f>IF(OR(report!D169="",report!D170=""),NA(),report!D169/report!D170-1)</f>
        <v>0.19873817034700303</v>
      </c>
      <c r="D169" s="2">
        <f>IF(OR(report!F169="",report!F170=""),NA(),report!F169/report!F170-1)</f>
        <v>-6.4935064935064402E-3</v>
      </c>
      <c r="E169" s="2">
        <f>IF(OR(report!H169="",report!H170=""),NA(),report!H169/report!H170-1)</f>
        <v>9.3045024805766152E-2</v>
      </c>
      <c r="F169" s="2">
        <f>IF(OR(report!J169="",report!J170=""),NA(),report!J169/report!J170-1)</f>
        <v>8.8615903975993948E-2</v>
      </c>
      <c r="G169" s="2">
        <f>IF(OR(report!L169="",report!L170=""),NA(),report!L169/report!L170-1)</f>
        <v>6.2096688881836393E-2</v>
      </c>
      <c r="H169" s="2">
        <f>IF(OR(report!N169="",report!N170=""),NA(),report!N169/report!N170-1)</f>
        <v>5.7247602932882113E-2</v>
      </c>
      <c r="I169" s="2">
        <f>IF(OR(report!P169="",report!P170=""),NA(),report!P169/report!P170-1)</f>
        <v>4.561309364099797E-2</v>
      </c>
      <c r="J169" s="2">
        <f>IF(OR(report!R169="",report!R170=""),NA(),report!R169/report!R170-1)</f>
        <v>0.1123196573489631</v>
      </c>
      <c r="K169" s="2">
        <f>IF(OR(report!T169="",report!T170=""),NA(),report!T169/report!T170-1)</f>
        <v>-6.3405797101449002E-3</v>
      </c>
      <c r="L169" s="2">
        <f>IF(OR(report!V169="",report!V170=""),NA(),report!V169/report!V170-1)</f>
        <v>6.6551946552804164E-3</v>
      </c>
    </row>
    <row r="170" spans="1:12" x14ac:dyDescent="0.75">
      <c r="A170" s="1">
        <f>report!A170</f>
        <v>43889.041250000002</v>
      </c>
      <c r="B170" s="2">
        <f>IF(OR(report!B170="",report!B171=""),NA(),report!B170/report!B171-1)</f>
        <v>-0.13892111368909499</v>
      </c>
      <c r="C170" s="2">
        <f>IF(OR(report!D170="",report!D171=""),NA(),report!D170/report!D171-1)</f>
        <v>0.28600405679513186</v>
      </c>
      <c r="D170" s="2">
        <f>IF(OR(report!F170="",report!F171=""),NA(),report!F170/report!F171-1)</f>
        <v>2.6666666666666616E-2</v>
      </c>
      <c r="E170" s="2">
        <f>IF(OR(report!H170="",report!H171=""),NA(),report!H170/report!H171-1)</f>
        <v>0.67721171206531117</v>
      </c>
      <c r="F170" s="2">
        <f>IF(OR(report!J170="",report!J171=""),NA(),report!J170/report!J171-1)</f>
        <v>0.64061538461538459</v>
      </c>
      <c r="G170" s="2">
        <f>IF(OR(report!L170="",report!L171=""),NA(),report!L170/report!L171-1)</f>
        <v>4.0678152694445968E-2</v>
      </c>
      <c r="H170" s="2">
        <f>IF(OR(report!N170="",report!N171=""),NA(),report!N170/report!N171-1)</f>
        <v>0.18239413137712579</v>
      </c>
      <c r="I170" s="2">
        <f>IF(OR(report!P170="",report!P171=""),NA(),report!P170/report!P171-1)</f>
        <v>3.7583518930957682E-2</v>
      </c>
      <c r="J170" s="2">
        <f>IF(OR(report!R170="",report!R171=""),NA(),report!R170/report!R171-1)</f>
        <v>0.12389156321256656</v>
      </c>
      <c r="K170" s="2">
        <f>IF(OR(report!T170="",report!T171=""),NA(),report!T170/report!T171-1)</f>
        <v>-9.8654708520178325E-3</v>
      </c>
      <c r="L170" s="2">
        <f>IF(OR(report!V170="",report!V171=""),NA(),report!V170/report!V171-1)</f>
        <v>-8.2785665779870898E-3</v>
      </c>
    </row>
    <row r="171" spans="1:12" x14ac:dyDescent="0.75">
      <c r="A171" s="1">
        <f>report!A171</f>
        <v>43921.041250000002</v>
      </c>
      <c r="B171" s="2">
        <f>IF(OR(report!B171="",report!B172=""),NA(),report!B171/report!B172-1)</f>
        <v>-3.1188536105647868E-2</v>
      </c>
      <c r="C171" s="2">
        <f>IF(OR(report!D171="",report!D172=""),NA(),report!D171/report!D172-1)</f>
        <v>-2.7613412228796985E-2</v>
      </c>
      <c r="D171" s="2">
        <f>IF(OR(report!F171="",report!F172=""),NA(),report!F171/report!F172-1)</f>
        <v>4.1232819658475695E-2</v>
      </c>
      <c r="E171" s="2">
        <f>IF(OR(report!H171="",report!H172=""),NA(),report!H171/report!H172-1)</f>
        <v>-0.15411686586985385</v>
      </c>
      <c r="F171" s="2">
        <f>IF(OR(report!J171="",report!J172=""),NA(),report!J171/report!J172-1)</f>
        <v>-1.3806706114398382E-2</v>
      </c>
      <c r="G171" s="2">
        <f>IF(OR(report!L171="",report!L172=""),NA(),report!L171/report!L172-1)</f>
        <v>-0.20595305738887193</v>
      </c>
      <c r="H171" s="2">
        <f>IF(OR(report!N171="",report!N172=""),NA(),report!N171/report!N172-1)</f>
        <v>4.3536503683858641E-3</v>
      </c>
      <c r="I171" s="2">
        <f>IF(OR(report!P171="",report!P172=""),NA(),report!P171/report!P172-1)</f>
        <v>5.5229142185664104E-2</v>
      </c>
      <c r="J171" s="2">
        <f>IF(OR(report!R171="",report!R172=""),NA(),report!R171/report!R172-1)</f>
        <v>-0.15154772141014627</v>
      </c>
      <c r="K171" s="2">
        <f>IF(OR(report!T171="",report!T172=""),NA(),report!T171/report!T172-1)</f>
        <v>-3.829567017422808E-2</v>
      </c>
      <c r="L171" s="2">
        <f>IF(OR(report!V171="",report!V172=""),NA(),report!V171/report!V172-1)</f>
        <v>6.3499577879644331E-3</v>
      </c>
    </row>
    <row r="172" spans="1:12" x14ac:dyDescent="0.75">
      <c r="A172" s="1">
        <f>report!A172</f>
        <v>43951.041250000002</v>
      </c>
      <c r="B172" s="2">
        <f>IF(OR(report!B172="",report!B173=""),NA(),report!B172/report!B173-1)</f>
        <v>2.6535910008653074E-2</v>
      </c>
      <c r="C172" s="2">
        <f>IF(OR(report!D172="",report!D173=""),NA(),report!D172/report!D173-1)</f>
        <v>-3.4285714285714253E-2</v>
      </c>
      <c r="D172" s="2">
        <f>IF(OR(report!F172="",report!F173=""),NA(),report!F172/report!F173-1)</f>
        <v>-6.4827586206895882E-3</v>
      </c>
      <c r="E172" s="2">
        <f>IF(OR(report!H172="",report!H173=""),NA(),report!H172/report!H173-1)</f>
        <v>2.875879499965861E-2</v>
      </c>
      <c r="F172" s="2">
        <f>IF(OR(report!J172="",report!J173=""),NA(),report!J172/report!J173-1)</f>
        <v>-1.9925650557620855E-2</v>
      </c>
      <c r="G172" s="2">
        <f>IF(OR(report!L172="",report!L173=""),NA(),report!L172/report!L173-1)</f>
        <v>3.9576517629952734E-2</v>
      </c>
      <c r="H172" s="2">
        <f>IF(OR(report!N172="",report!N173=""),NA(),report!N172/report!N173-1)</f>
        <v>-0.14953004841925377</v>
      </c>
      <c r="I172" s="2">
        <f>IF(OR(report!P172="",report!P173=""),NA(),report!P172/report!P173-1)</f>
        <v>-1.1040092969204052E-2</v>
      </c>
      <c r="J172" s="2">
        <f>IF(OR(report!R172="",report!R173=""),NA(),report!R172/report!R173-1)</f>
        <v>-0.11756058234931466</v>
      </c>
      <c r="K172" s="2">
        <f>IF(OR(report!T172="",report!T173=""),NA(),report!T172/report!T173-1)</f>
        <v>4.7335140018066824E-2</v>
      </c>
      <c r="L172" s="2">
        <f>IF(OR(report!V172="",report!V173=""),NA(),report!V172/report!V173-1)</f>
        <v>8.8931514537113898E-3</v>
      </c>
    </row>
    <row r="173" spans="1:12" x14ac:dyDescent="0.75">
      <c r="A173" s="1">
        <f>report!A173</f>
        <v>43980.041250000002</v>
      </c>
      <c r="B173" s="2">
        <f>IF(OR(report!B173="",report!B174=""),NA(),report!B173/report!B174-1)</f>
        <v>-9.877826878086815E-2</v>
      </c>
      <c r="C173" s="2">
        <f>IF(OR(report!D173="",report!D174=""),NA(),report!D173/report!D174-1)</f>
        <v>-0.18981481481481488</v>
      </c>
      <c r="D173" s="2">
        <f>IF(OR(report!F173="",report!F174=""),NA(),report!F173/report!F174-1)</f>
        <v>3.5714285714285809E-2</v>
      </c>
      <c r="E173" s="2">
        <f>IF(OR(report!H173="",report!H174=""),NA(),report!H173/report!H174-1)</f>
        <v>-0.11423730864645742</v>
      </c>
      <c r="F173" s="2">
        <f>IF(OR(report!J173="",report!J174=""),NA(),report!J173/report!J174-1)</f>
        <v>-0.15642247867536374</v>
      </c>
      <c r="G173" s="2">
        <f>IF(OR(report!L173="",report!L174=""),NA(),report!L173/report!L174-1)</f>
        <v>-0.11275952428945779</v>
      </c>
      <c r="H173" s="2">
        <f>IF(OR(report!N173="",report!N174=""),NA(),report!N173/report!N174-1)</f>
        <v>3.3559022667059235E-2</v>
      </c>
      <c r="I173" s="2">
        <f>IF(OR(report!P173="",report!P174=""),NA(),report!P173/report!P174-1)</f>
        <v>-4.0691192865105918E-2</v>
      </c>
      <c r="J173" s="2">
        <f>IF(OR(report!R173="",report!R174=""),NA(),report!R173/report!R174-1)</f>
        <v>-0.10134242488813128</v>
      </c>
      <c r="K173" s="2">
        <f>IF(OR(report!T173="",report!T174=""),NA(),report!T173/report!T174-1)</f>
        <v>3.6264732547597323E-3</v>
      </c>
      <c r="L173" s="2">
        <f>IF(OR(report!V173="",report!V174=""),NA(),report!V173/report!V174-1)</f>
        <v>1.6597827796189124E-2</v>
      </c>
    </row>
    <row r="174" spans="1:12" x14ac:dyDescent="0.75">
      <c r="A174" s="1">
        <f>report!A174</f>
        <v>44012.041250000002</v>
      </c>
      <c r="B174" s="2">
        <f>IF(OR(report!B174="",report!B175=""),NA(),report!B174/report!B175-1)</f>
        <v>-4.04090795709654E-2</v>
      </c>
      <c r="C174" s="2">
        <f>IF(OR(report!D174="",report!D175=""),NA(),report!D174/report!D175-1)</f>
        <v>-4.9853372434017551E-2</v>
      </c>
      <c r="D174" s="2">
        <f>IF(OR(report!F174="",report!F175=""),NA(),report!F174/report!F175-1)</f>
        <v>5.5011303692539704E-2</v>
      </c>
      <c r="E174" s="2">
        <f>IF(OR(report!H174="",report!H175=""),NA(),report!H174/report!H175-1)</f>
        <v>0.11873011575170933</v>
      </c>
      <c r="F174" s="2">
        <f>IF(OR(report!J174="",report!J175=""),NA(),report!J174/report!J175-1)</f>
        <v>-2.252816020025139E-3</v>
      </c>
      <c r="G174" s="2">
        <f>IF(OR(report!L174="",report!L175=""),NA(),report!L174/report!L175-1)</f>
        <v>-5.0162741719318227E-2</v>
      </c>
      <c r="H174" s="2">
        <f>IF(OR(report!N174="",report!N175=""),NA(),report!N174/report!N175-1)</f>
        <v>-3.5200938691699601E-3</v>
      </c>
      <c r="I174" s="2">
        <f>IF(OR(report!P174="",report!P175=""),NA(),report!P174/report!P175-1)</f>
        <v>-1.4827018121911006E-2</v>
      </c>
      <c r="J174" s="2">
        <f>IF(OR(report!R174="",report!R175=""),NA(),report!R174/report!R175-1)</f>
        <v>-0.29341443584570437</v>
      </c>
      <c r="K174" s="2">
        <f>IF(OR(report!T174="",report!T175=""),NA(),report!T174/report!T175-1)</f>
        <v>5.5906567107026683E-2</v>
      </c>
      <c r="L174" s="2">
        <f>IF(OR(report!V174="",report!V175=""),NA(),report!V174/report!V175-1)</f>
        <v>-3.6670389960683503E-3</v>
      </c>
    </row>
    <row r="175" spans="1:12" x14ac:dyDescent="0.75">
      <c r="A175" s="1">
        <f>report!A175</f>
        <v>44043.041250000002</v>
      </c>
      <c r="B175" s="2">
        <f>IF(OR(report!B175="",report!B176=""),NA(),report!B175/report!B176-1)</f>
        <v>-8.1642751113309986E-3</v>
      </c>
      <c r="C175" s="2">
        <f>IF(OR(report!D175="",report!D176=""),NA(),report!D175/report!D176-1)</f>
        <v>-2.8490028490028352E-2</v>
      </c>
      <c r="D175" s="2">
        <f>IF(OR(report!F175="",report!F176=""),NA(),report!F175/report!F176-1)</f>
        <v>8.3088475350963087E-2</v>
      </c>
      <c r="E175" s="2">
        <f>IF(OR(report!H175="",report!H176=""),NA(),report!H175/report!H176-1)</f>
        <v>-0.13191914443530384</v>
      </c>
      <c r="F175" s="2">
        <f>IF(OR(report!J175="",report!J176=""),NA(),report!J175/report!J176-1)</f>
        <v>5.5900621118012417E-2</v>
      </c>
      <c r="G175" s="2">
        <f>IF(OR(report!L175="",report!L176=""),NA(),report!L175/report!L176-1)</f>
        <v>9.0413817085892578E-3</v>
      </c>
      <c r="H175" s="2">
        <f>IF(OR(report!N175="",report!N176=""),NA(),report!N175/report!N176-1)</f>
        <v>-8.7282463186077575E-2</v>
      </c>
      <c r="I175" s="2">
        <f>IF(OR(report!P175="",report!P176=""),NA(),report!P175/report!P176-1)</f>
        <v>3.583617747440293E-2</v>
      </c>
      <c r="J175" s="2">
        <f>IF(OR(report!R175="",report!R176=""),NA(),report!R175/report!R176-1)</f>
        <v>-9.0289001506642985E-2</v>
      </c>
      <c r="K175" s="2">
        <f>IF(OR(report!T175="",report!T176=""),NA(),report!T175/report!T176-1)</f>
        <v>-5.7110222729869209E-3</v>
      </c>
      <c r="L175" s="2">
        <f>IF(OR(report!V175="",report!V176=""),NA(),report!V175/report!V176-1)</f>
        <v>-2.1348360378362852E-2</v>
      </c>
    </row>
    <row r="176" spans="1:12" x14ac:dyDescent="0.75">
      <c r="A176" s="1">
        <f>report!A176</f>
        <v>44074.041250000002</v>
      </c>
      <c r="B176" s="2">
        <f>IF(OR(report!B176="",report!B177=""),NA(),report!B176/report!B177-1)</f>
        <v>-2.2963500120860458E-2</v>
      </c>
      <c r="C176" s="2">
        <f>IF(OR(report!D176="",report!D177=""),NA(),report!D176/report!D177-1)</f>
        <v>-0.16229116945107414</v>
      </c>
      <c r="D176" s="2">
        <f>IF(OR(report!F176="",report!F177=""),NA(),report!F176/report!F177-1)</f>
        <v>0.34637362637362634</v>
      </c>
      <c r="E176" s="2">
        <f>IF(OR(report!H176="",report!H177=""),NA(),report!H176/report!H177-1)</f>
        <v>-4.1185418896839243E-2</v>
      </c>
      <c r="F176" s="2">
        <f>IF(OR(report!J176="",report!J177=""),NA(),report!J176/report!J177-1)</f>
        <v>-1.239885147481079E-2</v>
      </c>
      <c r="G176" s="2">
        <f>IF(OR(report!L176="",report!L177=""),NA(),report!L176/report!L177-1)</f>
        <v>5.6151805753927642E-2</v>
      </c>
      <c r="H176" s="2">
        <f>IF(OR(report!N176="",report!N177=""),NA(),report!N176/report!N177-1)</f>
        <v>-6.6949787659255522E-2</v>
      </c>
      <c r="I176" s="2">
        <f>IF(OR(report!P176="",report!P177=""),NA(),report!P176/report!P177-1)</f>
        <v>1.7094017094014813E-3</v>
      </c>
      <c r="J176" s="2">
        <f>IF(OR(report!R176="",report!R177=""),NA(),report!R176/report!R177-1)</f>
        <v>2.1719051750678675E-2</v>
      </c>
      <c r="K176" s="2">
        <f>IF(OR(report!T176="",report!T177=""),NA(),report!T176/report!T177-1)</f>
        <v>-9.8020735155512906E-3</v>
      </c>
      <c r="L176" s="2">
        <f>IF(OR(report!V176="",report!V177=""),NA(),report!V176/report!V177-1)</f>
        <v>-3.5379759409356559E-2</v>
      </c>
    </row>
    <row r="177" spans="1:12" x14ac:dyDescent="0.75">
      <c r="A177" s="1">
        <f>report!A177</f>
        <v>44104.041250000002</v>
      </c>
      <c r="B177" s="2">
        <f>IF(OR(report!B177="",report!B178=""),NA(),report!B177/report!B178-1)</f>
        <v>9.2705537936081939E-3</v>
      </c>
      <c r="C177" s="2">
        <f>IF(OR(report!D177="",report!D178=""),NA(),report!D177/report!D178-1)</f>
        <v>-4.3378995433789869E-2</v>
      </c>
      <c r="D177" s="2">
        <f>IF(OR(report!F177="",report!F178=""),NA(),report!F177/report!F178-1)</f>
        <v>2.2471910112359605E-2</v>
      </c>
      <c r="E177" s="2">
        <f>IF(OR(report!H177="",report!H178=""),NA(),report!H177/report!H178-1)</f>
        <v>5.4381691497196183E-3</v>
      </c>
      <c r="F177" s="2">
        <f>IF(OR(report!J177="",report!J178=""),NA(),report!J177/report!J178-1)</f>
        <v>-0.18920634920634916</v>
      </c>
      <c r="G177" s="2">
        <f>IF(OR(report!L177="",report!L178=""),NA(),report!L177/report!L178-1)</f>
        <v>8.6166393333628744E-2</v>
      </c>
      <c r="H177" s="2">
        <f>IF(OR(report!N177="",report!N178=""),NA(),report!N177/report!N178-1)</f>
        <v>6.491088055333849E-2</v>
      </c>
      <c r="I177" s="2">
        <f>IF(OR(report!P177="",report!P178=""),NA(),report!P177/report!P178-1)</f>
        <v>0.11322549952426253</v>
      </c>
      <c r="J177" s="2">
        <f>IF(OR(report!R177="",report!R178=""),NA(),report!R177/report!R178-1)</f>
        <v>5.7822122216958816E-2</v>
      </c>
      <c r="K177" s="2">
        <f>IF(OR(report!T177="",report!T178=""),NA(),report!T177/report!T178-1)</f>
        <v>3.5121951219512226E-2</v>
      </c>
      <c r="L177" s="2">
        <f>IF(OR(report!V177="",report!V178=""),NA(),report!V177/report!V178-1)</f>
        <v>1.6794441477322897E-2</v>
      </c>
    </row>
    <row r="178" spans="1:12" x14ac:dyDescent="0.75">
      <c r="A178" s="1">
        <f>report!A178</f>
        <v>44134.041250000002</v>
      </c>
      <c r="B178" s="2">
        <f>IF(OR(report!B178="",report!B179=""),NA(),report!B178/report!B179-1)</f>
        <v>-4.1393826005612588E-2</v>
      </c>
      <c r="C178" s="2">
        <f>IF(OR(report!D178="",report!D179=""),NA(),report!D178/report!D179-1)</f>
        <v>-4.7826086956521685E-2</v>
      </c>
      <c r="D178" s="2">
        <f>IF(OR(report!F178="",report!F179=""),NA(),report!F178/report!F179-1)</f>
        <v>5.3379098118120583E-2</v>
      </c>
      <c r="E178" s="2">
        <f>IF(OR(report!H178="",report!H179=""),NA(),report!H178/report!H179-1)</f>
        <v>-0.14686835491977568</v>
      </c>
      <c r="F178" s="2">
        <f>IF(OR(report!J178="",report!J179=""),NA(),report!J178/report!J179-1)</f>
        <v>-6.6113252297657854E-2</v>
      </c>
      <c r="G178" s="2">
        <f>IF(OR(report!L178="",report!L179=""),NA(),report!L178/report!L179-1)</f>
        <v>1.4570310743355686E-2</v>
      </c>
      <c r="H178" s="2">
        <f>IF(OR(report!N178="",report!N179=""),NA(),report!N178/report!N179-1)</f>
        <v>-5.9309309309309222E-2</v>
      </c>
      <c r="I178" s="2">
        <f>IF(OR(report!P178="",report!P179=""),NA(),report!P178/report!P179-1)</f>
        <v>-1.6531503431066796E-2</v>
      </c>
      <c r="J178" s="2">
        <f>IF(OR(report!R178="",report!R179=""),NA(),report!R178/report!R179-1)</f>
        <v>0.13881115344414852</v>
      </c>
      <c r="K178" s="2">
        <f>IF(OR(report!T178="",report!T179=""),NA(),report!T178/report!T179-1)</f>
        <v>-3.7558685446009377E-2</v>
      </c>
      <c r="L178" s="2">
        <f>IF(OR(report!V178="",report!V179=""),NA(),report!V178/report!V179-1)</f>
        <v>5.6321761845041785E-3</v>
      </c>
    </row>
    <row r="179" spans="1:12" x14ac:dyDescent="0.75">
      <c r="A179" s="1">
        <f>report!A179</f>
        <v>44165.041250000002</v>
      </c>
      <c r="B179" s="2">
        <f>IF(OR(report!B179="",report!B180=""),NA(),report!B179/report!B180-1)</f>
        <v>-1.110083256244232E-2</v>
      </c>
      <c r="C179" s="2">
        <f>IF(OR(report!D179="",report!D180=""),NA(),report!D179/report!D180-1)</f>
        <v>-0.10418695228821817</v>
      </c>
      <c r="D179" s="2">
        <f>IF(OR(report!F179="",report!F180=""),NA(),report!F179/report!F180-1)</f>
        <v>-0.17158544955387789</v>
      </c>
      <c r="E179" s="2">
        <f>IF(OR(report!H179="",report!H180=""),NA(),report!H179/report!H180-1)</f>
        <v>-6.8515350679751452E-2</v>
      </c>
      <c r="F179" s="2">
        <f>IF(OR(report!J179="",report!J180=""),NA(),report!J179/report!J180-1)</f>
        <v>-7.9505139634312827E-2</v>
      </c>
      <c r="G179" s="2">
        <f>IF(OR(report!L179="",report!L180=""),NA(),report!L179/report!L180-1)</f>
        <v>-6.1452749757312297E-2</v>
      </c>
      <c r="H179" s="2">
        <f>IF(OR(report!N179="",report!N180=""),NA(),report!N179/report!N180-1)</f>
        <v>-0.23477594791267709</v>
      </c>
      <c r="I179" s="2">
        <f>IF(OR(report!P179="",report!P180=""),NA(),report!P179/report!P180-1)</f>
        <v>-5.6781406295969394E-2</v>
      </c>
      <c r="J179" s="2">
        <f>IF(OR(report!R179="",report!R180=""),NA(),report!R179/report!R180-1)</f>
        <v>-0.11933606508700045</v>
      </c>
      <c r="K179" s="2">
        <f>IF(OR(report!T179="",report!T180=""),NA(),report!T179/report!T180-1)</f>
        <v>-4.8767416934619501E-2</v>
      </c>
      <c r="L179" s="2">
        <f>IF(OR(report!V179="",report!V180=""),NA(),report!V179/report!V180-1)</f>
        <v>-5.9904150489715757E-3</v>
      </c>
    </row>
    <row r="180" spans="1:12" x14ac:dyDescent="0.75">
      <c r="A180" s="1">
        <f>report!A180</f>
        <v>44196.041250000002</v>
      </c>
      <c r="B180" s="2">
        <f>IF(OR(report!B180="",report!B181=""),NA(),report!B180/report!B181-1)</f>
        <v>0.12253374870197287</v>
      </c>
      <c r="C180" s="2">
        <f>IF(OR(report!D180="",report!D181=""),NA(),report!D180/report!D181-1)</f>
        <v>-0.1267006802721089</v>
      </c>
      <c r="D180" s="2">
        <f>IF(OR(report!F180="",report!F181=""),NA(),report!F180/report!F181-1)</f>
        <v>-0.17081300813008138</v>
      </c>
      <c r="E180" s="2">
        <f>IF(OR(report!H180="",report!H181=""),NA(),report!H180/report!H181-1)</f>
        <v>7.5217812197482914E-2</v>
      </c>
      <c r="F180" s="2">
        <f>IF(OR(report!J180="",report!J181=""),NA(),report!J180/report!J181-1)</f>
        <v>8.2307768041744778E-2</v>
      </c>
      <c r="G180" s="2">
        <f>IF(OR(report!L180="",report!L181=""),NA(),report!L180/report!L181-1)</f>
        <v>5.2741491157913378E-2</v>
      </c>
      <c r="H180" s="2">
        <f>IF(OR(report!N180="",report!N181=""),NA(),report!N180/report!N181-1)</f>
        <v>0.14769230769230757</v>
      </c>
      <c r="I180" s="2">
        <f>IF(OR(report!P180="",report!P181=""),NA(),report!P180/report!P181-1)</f>
        <v>-5.0823792236805332E-2</v>
      </c>
      <c r="J180" s="2">
        <f>IF(OR(report!R180="",report!R181=""),NA(),report!R180/report!R181-1)</f>
        <v>9.78973105134473E-2</v>
      </c>
      <c r="K180" s="2">
        <f>IF(OR(report!T180="",report!T181=""),NA(),report!T180/report!T181-1)</f>
        <v>-4.061696658097691E-2</v>
      </c>
      <c r="L180" s="2">
        <f>IF(OR(report!V180="",report!V181=""),NA(),report!V180/report!V181-1)</f>
        <v>-2.2198836460957549E-2</v>
      </c>
    </row>
    <row r="181" spans="1:12" x14ac:dyDescent="0.75">
      <c r="A181" s="1">
        <f>report!A181</f>
        <v>44225.041250000002</v>
      </c>
      <c r="B181" s="2">
        <f>IF(OR(report!B181="",report!B182=""),NA(),report!B181/report!B182-1)</f>
        <v>-1.9847328244274709E-2</v>
      </c>
      <c r="C181" s="2">
        <f>IF(OR(report!D181="",report!D182=""),NA(),report!D181/report!D182-1)</f>
        <v>-0.15638450502152079</v>
      </c>
      <c r="D181" s="2">
        <f>IF(OR(report!F181="",report!F182=""),NA(),report!F181/report!F182-1)</f>
        <v>0.13888888888888884</v>
      </c>
      <c r="E181" s="2">
        <f>IF(OR(report!H181="",report!H182=""),NA(),report!H181/report!H182-1)</f>
        <v>-2.3814023814023755E-2</v>
      </c>
      <c r="F181" s="2">
        <f>IF(OR(report!J181="",report!J182=""),NA(),report!J181/report!J182-1)</f>
        <v>-3.3219112887873714E-2</v>
      </c>
      <c r="G181" s="2">
        <f>IF(OR(report!L181="",report!L182=""),NA(),report!L181/report!L182-1)</f>
        <v>-1.298131742829578E-2</v>
      </c>
      <c r="H181" s="2">
        <f>IF(OR(report!N181="",report!N182=""),NA(),report!N181/report!N182-1)</f>
        <v>7.1092278719397495E-2</v>
      </c>
      <c r="I181" s="2">
        <f>IF(OR(report!P181="",report!P182=""),NA(),report!P181/report!P182-1)</f>
        <v>7.055306427503738E-2</v>
      </c>
      <c r="J181" s="2">
        <f>IF(OR(report!R181="",report!R182=""),NA(),report!R181/report!R182-1)</f>
        <v>6.8257008532126129E-2</v>
      </c>
      <c r="K181" s="2">
        <f>IF(OR(report!T181="",report!T182=""),NA(),report!T181/report!T182-1)</f>
        <v>-2.2285522788203727E-2</v>
      </c>
      <c r="L181" s="2">
        <f>IF(OR(report!V181="",report!V182=""),NA(),report!V181/report!V182-1)</f>
        <v>-1.5656714599838306E-2</v>
      </c>
    </row>
    <row r="182" spans="1:12" x14ac:dyDescent="0.75">
      <c r="A182" s="1">
        <f>report!A182</f>
        <v>44253.041250000002</v>
      </c>
      <c r="B182" s="2">
        <f>IF(OR(report!B182="",report!B183=""),NA(),report!B182/report!B183-1)</f>
        <v>-8.3916083916083961E-2</v>
      </c>
      <c r="C182" s="2">
        <f>IF(OR(report!D182="",report!D183=""),NA(),report!D182/report!D183-1)</f>
        <v>-3.3287101248266282E-2</v>
      </c>
      <c r="D182" s="2">
        <f>IF(OR(report!F182="",report!F183=""),NA(),report!F182/report!F183-1)</f>
        <v>0</v>
      </c>
      <c r="E182" s="2">
        <f>IF(OR(report!H182="",report!H183=""),NA(),report!H182/report!H183-1)</f>
        <v>-9.4542731442479599E-3</v>
      </c>
      <c r="F182" s="2">
        <f>IF(OR(report!J182="",report!J183=""),NA(),report!J182/report!J183-1)</f>
        <v>-8.7466342395552843E-2</v>
      </c>
      <c r="G182" s="2">
        <f>IF(OR(report!L182="",report!L183=""),NA(),report!L182/report!L183-1)</f>
        <v>-5.538754712291305E-2</v>
      </c>
      <c r="H182" s="2">
        <f>IF(OR(report!N182="",report!N183=""),NA(),report!N182/report!N183-1)</f>
        <v>-3.8478949751018621E-2</v>
      </c>
      <c r="I182" s="2">
        <f>IF(OR(report!P182="",report!P183=""),NA(),report!P182/report!P183-1)</f>
        <v>-4.2370455196106382E-2</v>
      </c>
      <c r="J182" s="2">
        <f>IF(OR(report!R182="",report!R183=""),NA(),report!R182/report!R183-1)</f>
        <v>8.921594659181431E-2</v>
      </c>
      <c r="K182" s="2">
        <f>IF(OR(report!T182="",report!T183=""),NA(),report!T182/report!T183-1)</f>
        <v>-7.4298123158057949E-2</v>
      </c>
      <c r="L182" s="2">
        <f>IF(OR(report!V182="",report!V183=""),NA(),report!V182/report!V183-1)</f>
        <v>1.0369989022934067E-2</v>
      </c>
    </row>
    <row r="183" spans="1:12" x14ac:dyDescent="0.75">
      <c r="A183" s="1">
        <f>report!A183</f>
        <v>44286.041250000002</v>
      </c>
      <c r="B183" s="2">
        <f>IF(OR(report!B183="",report!B184=""),NA(),report!B183/report!B184-1)</f>
        <v>5.8214109521460333E-2</v>
      </c>
      <c r="C183" s="2">
        <f>IF(OR(report!D183="",report!D184=""),NA(),report!D183/report!D184-1)</f>
        <v>-0.10379117464263521</v>
      </c>
      <c r="D183" s="2">
        <f>IF(OR(report!F183="",report!F184=""),NA(),report!F183/report!F184-1)</f>
        <v>-9.9999999999999978E-2</v>
      </c>
      <c r="E183" s="2">
        <f>IF(OR(report!H183="",report!H184=""),NA(),report!H183/report!H184-1)</f>
        <v>2.6027660391855445E-2</v>
      </c>
      <c r="F183" s="2">
        <f>IF(OR(report!J183="",report!J184=""),NA(),report!J183/report!J184-1)</f>
        <v>-1.0412147505423075E-3</v>
      </c>
      <c r="G183" s="2">
        <f>IF(OR(report!L183="",report!L184=""),NA(),report!L183/report!L184-1)</f>
        <v>9.5782831721821227E-2</v>
      </c>
      <c r="H183" s="2">
        <f>IF(OR(report!N183="",report!N184=""),NA(),report!N183/report!N184-1)</f>
        <v>3.684581084252514E-2</v>
      </c>
      <c r="I183" s="2">
        <f>IF(OR(report!P183="",report!P184=""),NA(),report!P183/report!P184-1)</f>
        <v>-2.0000000000000018E-3</v>
      </c>
      <c r="J183" s="2">
        <f>IF(OR(report!R183="",report!R184=""),NA(),report!R183/report!R184-1)</f>
        <v>1.0579982366696106E-2</v>
      </c>
      <c r="K183" s="2">
        <f>IF(OR(report!T183="",report!T184=""),NA(),report!T183/report!T184-1)</f>
        <v>-2.7748454230131281E-2</v>
      </c>
      <c r="L183" s="2">
        <f>IF(OR(report!V183="",report!V184=""),NA(),report!V183/report!V184-1)</f>
        <v>6.6747304484628955E-3</v>
      </c>
    </row>
    <row r="184" spans="1:12" x14ac:dyDescent="0.75">
      <c r="A184" s="1">
        <f>report!A184</f>
        <v>44316.041250000002</v>
      </c>
      <c r="B184" s="2">
        <f>IF(OR(report!B184="",report!B185=""),NA(),report!B184/report!B185-1)</f>
        <v>-7.5484606613455019E-2</v>
      </c>
      <c r="C184" s="2">
        <f>IF(OR(report!D184="",report!D185=""),NA(),report!D184/report!D185-1)</f>
        <v>-4.2831647828673325E-2</v>
      </c>
      <c r="D184" s="2">
        <f>IF(OR(report!F184="",report!F185=""),NA(),report!F184/report!F185-1)</f>
        <v>-8.2644628099173278E-3</v>
      </c>
      <c r="E184" s="2">
        <f>IF(OR(report!H184="",report!H185=""),NA(),report!H184/report!H185-1)</f>
        <v>-3.180212014134276E-2</v>
      </c>
      <c r="F184" s="2">
        <f>IF(OR(report!J184="",report!J185=""),NA(),report!J184/report!J185-1)</f>
        <v>-0.16169624672679661</v>
      </c>
      <c r="G184" s="2">
        <f>IF(OR(report!L184="",report!L185=""),NA(),report!L184/report!L185-1)</f>
        <v>1.4974198304460007E-2</v>
      </c>
      <c r="H184" s="2">
        <f>IF(OR(report!N184="",report!N185=""),NA(),report!N184/report!N185-1)</f>
        <v>-5.0790822009356251E-2</v>
      </c>
      <c r="I184" s="2">
        <f>IF(OR(report!P184="",report!P185=""),NA(),report!P184/report!P185-1)</f>
        <v>-2.9664541169947323E-2</v>
      </c>
      <c r="J184" s="2">
        <f>IF(OR(report!R184="",report!R185=""),NA(),report!R184/report!R185-1)</f>
        <v>-0.13787633431375779</v>
      </c>
      <c r="K184" s="2">
        <f>IF(OR(report!T184="",report!T185=""),NA(),report!T184/report!T185-1)</f>
        <v>1.3914373088685039E-2</v>
      </c>
      <c r="L184" s="2">
        <f>IF(OR(report!V184="",report!V185=""),NA(),report!V184/report!V185-1)</f>
        <v>-2.4102772640742232E-2</v>
      </c>
    </row>
    <row r="185" spans="1:12" x14ac:dyDescent="0.75">
      <c r="A185" s="1">
        <f>report!A185</f>
        <v>44347.041250000002</v>
      </c>
      <c r="B185" s="2">
        <f>IF(OR(report!B185="",report!B186=""),NA(),report!B185/report!B186-1)</f>
        <v>-9.1136933242197404E-4</v>
      </c>
      <c r="C185" s="2">
        <f>IF(OR(report!D185="",report!D186=""),NA(),report!D185/report!D186-1)</f>
        <v>-5.9453032104650472E-4</v>
      </c>
      <c r="D185" s="2">
        <f>IF(OR(report!F185="",report!F186=""),NA(),report!F185/report!F186-1)</f>
        <v>-5.46875E-2</v>
      </c>
      <c r="E185" s="2">
        <f>IF(OR(report!H185="",report!H186=""),NA(),report!H185/report!H186-1)</f>
        <v>1.3810982795192217E-2</v>
      </c>
      <c r="F185" s="2">
        <f>IF(OR(report!J185="",report!J186=""),NA(),report!J185/report!J186-1)</f>
        <v>6.7722895309102249E-2</v>
      </c>
      <c r="G185" s="2">
        <f>IF(OR(report!L185="",report!L186=""),NA(),report!L185/report!L186-1)</f>
        <v>-2.5896503747587674E-2</v>
      </c>
      <c r="H185" s="2">
        <f>IF(OR(report!N185="",report!N186=""),NA(),report!N185/report!N186-1)</f>
        <v>-1.1451222197753741E-2</v>
      </c>
      <c r="I185" s="2">
        <f>IF(OR(report!P185="",report!P186=""),NA(),report!P185/report!P186-1)</f>
        <v>1.9790783149561841E-2</v>
      </c>
      <c r="J185" s="2">
        <f>IF(OR(report!R185="",report!R186=""),NA(),report!R185/report!R186-1)</f>
        <v>9.9687454571885326E-2</v>
      </c>
      <c r="K185" s="2">
        <f>IF(OR(report!T185="",report!T186=""),NA(),report!T185/report!T186-1)</f>
        <v>5.0714615029969767E-3</v>
      </c>
      <c r="L185" s="2">
        <f>IF(OR(report!V185="",report!V186=""),NA(),report!V185/report!V186-1)</f>
        <v>-1.3145239998684222E-3</v>
      </c>
    </row>
    <row r="186" spans="1:12" x14ac:dyDescent="0.75">
      <c r="A186" s="1">
        <f>report!A186</f>
        <v>44377.041250000002</v>
      </c>
      <c r="B186" s="2">
        <f>IF(OR(report!B186="",report!B187=""),NA(),report!B186/report!B187-1)</f>
        <v>-4.3374019180470791E-2</v>
      </c>
      <c r="C186" s="2">
        <f>IF(OR(report!D186="",report!D187=""),NA(),report!D186/report!D187-1)</f>
        <v>3.5714285714285809E-2</v>
      </c>
      <c r="D186" s="2">
        <f>IF(OR(report!F186="",report!F187=""),NA(),report!F186/report!F187-1)</f>
        <v>1.1058451816745807E-2</v>
      </c>
      <c r="E186" s="2">
        <f>IF(OR(report!H186="",report!H187=""),NA(),report!H186/report!H187-1)</f>
        <v>-7.3418937805730278E-2</v>
      </c>
      <c r="F186" s="2">
        <f>IF(OR(report!J186="",report!J187=""),NA(),report!J186/report!J187-1)</f>
        <v>-2.2471910112361604E-3</v>
      </c>
      <c r="G186" s="2">
        <f>IF(OR(report!L186="",report!L187=""),NA(),report!L186/report!L187-1)</f>
        <v>3.4497167796452732E-2</v>
      </c>
      <c r="H186" s="2">
        <f>IF(OR(report!N186="",report!N187=""),NA(),report!N186/report!N187-1)</f>
        <v>8.9752819774417958E-2</v>
      </c>
      <c r="I186" s="2">
        <f>IF(OR(report!P186="",report!P187=""),NA(),report!P186/report!P187-1)</f>
        <v>9.7424759540800432E-2</v>
      </c>
      <c r="J186" s="2">
        <f>IF(OR(report!R186="",report!R187=""),NA(),report!R186/report!R187-1)</f>
        <v>-1.9736373352333358E-2</v>
      </c>
      <c r="K186" s="2">
        <f>IF(OR(report!T186="",report!T187=""),NA(),report!T186/report!T187-1)</f>
        <v>-8.3815909783604425E-3</v>
      </c>
      <c r="L186" s="2">
        <f>IF(OR(report!V186="",report!V187=""),NA(),report!V186/report!V187-1)</f>
        <v>4.152853388053046E-3</v>
      </c>
    </row>
    <row r="187" spans="1:12" x14ac:dyDescent="0.75">
      <c r="A187" s="1">
        <f>report!A187</f>
        <v>44407.041250000002</v>
      </c>
      <c r="B187" s="2">
        <f>IF(OR(report!B187="",report!B188=""),NA(),report!B187/report!B188-1)</f>
        <v>-9.720582447855175E-2</v>
      </c>
      <c r="C187" s="2">
        <f>IF(OR(report!D187="",report!D188=""),NA(),report!D187/report!D188-1)</f>
        <v>-1.5757575757575859E-2</v>
      </c>
      <c r="D187" s="2">
        <f>IF(OR(report!F187="",report!F188=""),NA(),report!F187/report!F188-1)</f>
        <v>4.6821680818982525E-3</v>
      </c>
      <c r="E187" s="2">
        <f>IF(OR(report!H187="",report!H188=""),NA(),report!H187/report!H188-1)</f>
        <v>-2.1036428937916796E-2</v>
      </c>
      <c r="F187" s="2">
        <f>IF(OR(report!J187="",report!J188=""),NA(),report!J187/report!J188-1)</f>
        <v>-2.6625433700407264E-2</v>
      </c>
      <c r="G187" s="2">
        <f>IF(OR(report!L187="",report!L188=""),NA(),report!L187/report!L188-1)</f>
        <v>-6.0993155164145274E-2</v>
      </c>
      <c r="H187" s="2">
        <f>IF(OR(report!N187="",report!N188=""),NA(),report!N187/report!N188-1)</f>
        <v>-4.2729152308752516E-2</v>
      </c>
      <c r="I187" s="2">
        <f>IF(OR(report!P187="",report!P188=""),NA(),report!P187/report!P188-1)</f>
        <v>-9.1344798421201023E-2</v>
      </c>
      <c r="J187" s="2">
        <f>IF(OR(report!R187="",report!R188=""),NA(),report!R187/report!R188-1)</f>
        <v>-1.3668786675568367E-2</v>
      </c>
      <c r="K187" s="2">
        <f>IF(OR(report!T187="",report!T188=""),NA(),report!T187/report!T188-1)</f>
        <v>-8.1724041421774252E-2</v>
      </c>
      <c r="L187" s="2">
        <f>IF(OR(report!V187="",report!V188=""),NA(),report!V187/report!V188-1)</f>
        <v>6.1535598064121899E-3</v>
      </c>
    </row>
    <row r="188" spans="1:12" x14ac:dyDescent="0.75">
      <c r="A188" s="1">
        <f>report!A188</f>
        <v>44439.041250000002</v>
      </c>
      <c r="B188" s="2">
        <f>IF(OR(report!B188="",report!B189=""),NA(),report!B188/report!B189-1)</f>
        <v>-0.12439696760854579</v>
      </c>
      <c r="C188" s="2">
        <f>IF(OR(report!D188="",report!D189=""),NA(),report!D188/report!D189-1)</f>
        <v>0.10812625923438546</v>
      </c>
      <c r="D188" s="2">
        <f>IF(OR(report!F188="",report!F189=""),NA(),report!F188/report!F189-1)</f>
        <v>-5.2556390977443579E-2</v>
      </c>
      <c r="E188" s="2">
        <f>IF(OR(report!H188="",report!H189=""),NA(),report!H188/report!H189-1)</f>
        <v>-2.545939414142262E-2</v>
      </c>
      <c r="F188" s="2">
        <f>IF(OR(report!J188="",report!J189=""),NA(),report!J188/report!J189-1)</f>
        <v>7.5431847326168366E-5</v>
      </c>
      <c r="G188" s="2">
        <f>IF(OR(report!L188="",report!L189=""),NA(),report!L188/report!L189-1)</f>
        <v>-2.9327126534066883E-2</v>
      </c>
      <c r="H188" s="2">
        <f>IF(OR(report!N188="",report!N189=""),NA(),report!N188/report!N189-1)</f>
        <v>4.1886069889899513E-2</v>
      </c>
      <c r="I188" s="2">
        <f>IF(OR(report!P188="",report!P189=""),NA(),report!P188/report!P189-1)</f>
        <v>4.354221829949978E-2</v>
      </c>
      <c r="J188" s="2">
        <f>IF(OR(report!R188="",report!R189=""),NA(),report!R188/report!R189-1)</f>
        <v>0.16970817920263026</v>
      </c>
      <c r="K188" s="2">
        <f>IF(OR(report!T188="",report!T189=""),NA(),report!T188/report!T189-1)</f>
        <v>1.8964779694852441E-2</v>
      </c>
      <c r="L188" s="2">
        <f>IF(OR(report!V188="",report!V189=""),NA(),report!V188/report!V189-1)</f>
        <v>9.4815495074560552E-3</v>
      </c>
    </row>
    <row r="189" spans="1:12" x14ac:dyDescent="0.75">
      <c r="A189" s="1">
        <f>report!A189</f>
        <v>44469.041250000002</v>
      </c>
      <c r="B189" s="2">
        <f>IF(OR(report!B189="",report!B190=""),NA(),report!B189/report!B190-1)</f>
        <v>-4.7587791270101709E-2</v>
      </c>
      <c r="C189" s="2">
        <f>IF(OR(report!D189="",report!D190=""),NA(),report!D189/report!D190-1)</f>
        <v>0.12462235649546827</v>
      </c>
      <c r="D189" s="2">
        <f>IF(OR(report!F189="",report!F190=""),NA(),report!F189/report!F190-1)</f>
        <v>-8.7941571023998355E-3</v>
      </c>
      <c r="E189" s="2">
        <f>IF(OR(report!H189="",report!H190=""),NA(),report!H189/report!H190-1)</f>
        <v>-7.5289947212268227E-2</v>
      </c>
      <c r="F189" s="2">
        <f>IF(OR(report!J189="",report!J190=""),NA(),report!J189/report!J190-1)</f>
        <v>1.7031070195627107E-2</v>
      </c>
      <c r="G189" s="2">
        <f>IF(OR(report!L189="",report!L190=""),NA(),report!L189/report!L190-1)</f>
        <v>-2.2543950361944121E-2</v>
      </c>
      <c r="H189" s="2">
        <f>IF(OR(report!N189="",report!N190=""),NA(),report!N189/report!N190-1)</f>
        <v>0.10353935552033811</v>
      </c>
      <c r="I189" s="2">
        <f>IF(OR(report!P189="",report!P190=""),NA(),report!P189/report!P190-1)</f>
        <v>4.3598403438747324E-2</v>
      </c>
      <c r="J189" s="2">
        <f>IF(OR(report!R189="",report!R190=""),NA(),report!R189/report!R190-1)</f>
        <v>-7.8374180840183327E-2</v>
      </c>
      <c r="K189" s="2">
        <f>IF(OR(report!T189="",report!T190=""),NA(),report!T189/report!T190-1)</f>
        <v>-2.3395070324467415E-2</v>
      </c>
      <c r="L189" s="2">
        <f>IF(OR(report!V189="",report!V190=""),NA(),report!V189/report!V190-1)</f>
        <v>-9.9555234833564876E-3</v>
      </c>
    </row>
    <row r="190" spans="1:12" x14ac:dyDescent="0.75">
      <c r="A190" s="1">
        <f>report!A190</f>
        <v>44498.041250000002</v>
      </c>
      <c r="B190" s="2">
        <f>IF(OR(report!B190="",report!B191=""),NA(),report!B190/report!B191-1)</f>
        <v>8.3955887584489464E-2</v>
      </c>
      <c r="C190" s="2">
        <f>IF(OR(report!D190="",report!D191=""),NA(),report!D190/report!D191-1)</f>
        <v>-4.5112781954887993E-3</v>
      </c>
      <c r="D190" s="2">
        <f>IF(OR(report!F190="",report!F191=""),NA(),report!F190/report!F191-1)</f>
        <v>-4.1571428571428481E-2</v>
      </c>
      <c r="E190" s="2">
        <f>IF(OR(report!H190="",report!H191=""),NA(),report!H190/report!H191-1)</f>
        <v>4.7801687593362674E-2</v>
      </c>
      <c r="F190" s="2">
        <f>IF(OR(report!J190="",report!J191=""),NA(),report!J190/report!J191-1)</f>
        <v>1.7326153125731603E-2</v>
      </c>
      <c r="G190" s="2">
        <f>IF(OR(report!L190="",report!L191=""),NA(),report!L190/report!L191-1)</f>
        <v>-6.9870339732984621E-2</v>
      </c>
      <c r="H190" s="2">
        <f>IF(OR(report!N190="",report!N191=""),NA(),report!N190/report!N191-1)</f>
        <v>7.1827613727053485E-3</v>
      </c>
      <c r="I190" s="2">
        <f>IF(OR(report!P190="",report!P191=""),NA(),report!P190/report!P191-1)</f>
        <v>-3.2670032670032656E-2</v>
      </c>
      <c r="J190" s="2">
        <f>IF(OR(report!R190="",report!R191=""),NA(),report!R190/report!R191-1)</f>
        <v>4.1842595762486834E-3</v>
      </c>
      <c r="K190" s="2">
        <f>IF(OR(report!T190="",report!T191=""),NA(),report!T190/report!T191-1)</f>
        <v>6.5746512318195505E-2</v>
      </c>
      <c r="L190" s="2">
        <f>IF(OR(report!V190="",report!V191=""),NA(),report!V190/report!V191-1)</f>
        <v>7.8108013160205214E-3</v>
      </c>
    </row>
    <row r="191" spans="1:12" x14ac:dyDescent="0.75">
      <c r="A191" s="1">
        <f>report!A191</f>
        <v>44530.041250000002</v>
      </c>
      <c r="B191" s="2">
        <f>IF(OR(report!B191="",report!B192=""),NA(),report!B191/report!B192-1)</f>
        <v>-0.10719390185802768</v>
      </c>
      <c r="C191" s="2">
        <f>IF(OR(report!D191="",report!D192=""),NA(),report!D191/report!D192-1)</f>
        <v>-4.932094353109362E-2</v>
      </c>
      <c r="D191" s="2">
        <f>IF(OR(report!F191="",report!F192=""),NA(),report!F191/report!F192-1)</f>
        <v>7.7918078226054899E-2</v>
      </c>
      <c r="E191" s="2">
        <f>IF(OR(report!H191="",report!H192=""),NA(),report!H191/report!H192-1)</f>
        <v>-0.12216472923164168</v>
      </c>
      <c r="F191" s="2">
        <f>IF(OR(report!J191="",report!J192=""),NA(),report!J191/report!J192-1)</f>
        <v>-3.6761389264772348E-2</v>
      </c>
      <c r="G191" s="2">
        <f>IF(OR(report!L191="",report!L192=""),NA(),report!L191/report!L192-1)</f>
        <v>-9.9420996495503955E-3</v>
      </c>
      <c r="H191" s="2">
        <f>IF(OR(report!N191="",report!N192=""),NA(),report!N191/report!N192-1)</f>
        <v>-7.1393280632410905E-2</v>
      </c>
      <c r="I191" s="2">
        <f>IF(OR(report!P191="",report!P192=""),NA(),report!P191/report!P192-1)</f>
        <v>8.5778781038374774E-2</v>
      </c>
      <c r="J191" s="2">
        <f>IF(OR(report!R191="",report!R192=""),NA(),report!R191/report!R192-1)</f>
        <v>0.11602139582272031</v>
      </c>
      <c r="K191" s="2">
        <f>IF(OR(report!T191="",report!T192=""),NA(),report!T191/report!T192-1)</f>
        <v>-0.11446970692600877</v>
      </c>
      <c r="L191" s="2">
        <f>IF(OR(report!V191="",report!V192=""),NA(),report!V191/report!V192-1)</f>
        <v>-1.046765841131736E-2</v>
      </c>
    </row>
    <row r="192" spans="1:12" x14ac:dyDescent="0.75">
      <c r="A192" s="1">
        <f>report!A192</f>
        <v>44561.041250000002</v>
      </c>
      <c r="B192" s="2">
        <f>IF(OR(report!B192="",report!B193=""),NA(),report!B192/report!B193-1)</f>
        <v>-2.5081281932187727E-2</v>
      </c>
      <c r="C192" s="2">
        <f>IF(OR(report!D192="",report!D193=""),NA(),report!D192/report!D193-1)</f>
        <v>0.11031746031746037</v>
      </c>
      <c r="D192" s="2">
        <f>IF(OR(report!F192="",report!F193=""),NA(),report!F192/report!F193-1)</f>
        <v>6.8217054263566279E-3</v>
      </c>
      <c r="E192" s="2">
        <f>IF(OR(report!H192="",report!H193=""),NA(),report!H192/report!H193-1)</f>
        <v>-5.1126547018792712E-3</v>
      </c>
      <c r="F192" s="2">
        <f>IF(OR(report!J192="",report!J193=""),NA(),report!J192/report!J193-1)</f>
        <v>1.7439192290041206E-2</v>
      </c>
      <c r="G192" s="2">
        <f>IF(OR(report!L192="",report!L193=""),NA(),report!L192/report!L193-1)</f>
        <v>-2.6982950333580558E-2</v>
      </c>
      <c r="H192" s="2">
        <f>IF(OR(report!N192="",report!N193=""),NA(),report!N192/report!N193-1)</f>
        <v>0.18709677419354831</v>
      </c>
      <c r="I192" s="2">
        <f>IF(OR(report!P192="",report!P193=""),NA(),report!P192/report!P193-1)</f>
        <v>4.0604026845637575E-2</v>
      </c>
      <c r="J192" s="2">
        <f>IF(OR(report!R192="",report!R193=""),NA(),report!R192/report!R193-1)</f>
        <v>6.5930585094348126E-2</v>
      </c>
      <c r="K192" s="2">
        <f>IF(OR(report!T192="",report!T193=""),NA(),report!T192/report!T193-1)</f>
        <v>8.4830339321357418E-2</v>
      </c>
      <c r="L192" s="2">
        <f>IF(OR(report!V192="",report!V193=""),NA(),report!V192/report!V193-1)</f>
        <v>-3.6783013067701598E-3</v>
      </c>
    </row>
    <row r="193" spans="1:12" x14ac:dyDescent="0.75">
      <c r="A193" s="1">
        <f>report!A193</f>
        <v>44592.041250000002</v>
      </c>
      <c r="B193" s="2">
        <f>IF(OR(report!B193="",report!B194=""),NA(),report!B193/report!B194-1)</f>
        <v>2.4100206120184042E-2</v>
      </c>
      <c r="C193" s="2">
        <f>IF(OR(report!D193="",report!D194=""),NA(),report!D193/report!D194-1)</f>
        <v>0.19771863117870714</v>
      </c>
      <c r="D193" s="2">
        <f>IF(OR(report!F193="",report!F194=""),NA(),report!F193/report!F194-1)</f>
        <v>3.4482758620689724E-2</v>
      </c>
      <c r="E193" s="2">
        <f>IF(OR(report!H193="",report!H194=""),NA(),report!H193/report!H194-1)</f>
        <v>-4.800107414991106E-2</v>
      </c>
      <c r="F193" s="2">
        <f>IF(OR(report!J193="",report!J194=""),NA(),report!J193/report!J194-1)</f>
        <v>-5.6301429190125485E-2</v>
      </c>
      <c r="G193" s="2">
        <f>IF(OR(report!L193="",report!L194=""),NA(),report!L193/report!L194-1)</f>
        <v>-2.8692803398495004E-2</v>
      </c>
      <c r="H193" s="2">
        <f>IF(OR(report!N193="",report!N194=""),NA(),report!N193/report!N194-1)</f>
        <v>0.17911479944674968</v>
      </c>
      <c r="I193" s="2">
        <f>IF(OR(report!P193="",report!P194=""),NA(),report!P193/report!P194-1)</f>
        <v>3.6882393876130903E-2</v>
      </c>
      <c r="J193" s="2">
        <f>IF(OR(report!R193="",report!R194=""),NA(),report!R193/report!R194-1)</f>
        <v>-0.13547453250919328</v>
      </c>
      <c r="K193" s="2">
        <f>IF(OR(report!T193="",report!T194=""),NA(),report!T193/report!T194-1)</f>
        <v>-9.961489088575104E-2</v>
      </c>
      <c r="L193" s="2">
        <f>IF(OR(report!V193="",report!V194=""),NA(),report!V193/report!V194-1)</f>
        <v>1.8523034840695063E-2</v>
      </c>
    </row>
    <row r="194" spans="1:12" x14ac:dyDescent="0.75">
      <c r="A194" s="1">
        <f>report!A194</f>
        <v>44620.041250000002</v>
      </c>
      <c r="B194" s="2">
        <f>IF(OR(report!B194="",report!B195=""),NA(),report!B194/report!B195-1)</f>
        <v>5.011655011655014E-2</v>
      </c>
      <c r="C194" s="2">
        <f>IF(OR(report!D194="",report!D195=""),NA(),report!D194/report!D195-1)</f>
        <v>-1.5902712815715647E-2</v>
      </c>
      <c r="D194" s="2">
        <f>IF(OR(report!F194="",report!F195=""),NA(),report!F194/report!F195-1)</f>
        <v>6.8631408962456231E-3</v>
      </c>
      <c r="E194" s="2">
        <f>IF(OR(report!H194="",report!H195=""),NA(),report!H194/report!H195-1)</f>
        <v>-7.6563032764018435E-2</v>
      </c>
      <c r="F194" s="2">
        <f>IF(OR(report!J194="",report!J195=""),NA(),report!J194/report!J195-1)</f>
        <v>-7.3620862587763458E-2</v>
      </c>
      <c r="G194" s="2">
        <f>IF(OR(report!L194="",report!L195=""),NA(),report!L194/report!L195-1)</f>
        <v>0.11041375174895052</v>
      </c>
      <c r="H194" s="2">
        <f>IF(OR(report!N194="",report!N195=""),NA(),report!N194/report!N195-1)</f>
        <v>-7.7511961722487976E-2</v>
      </c>
      <c r="I194" s="2">
        <f>IF(OR(report!P194="",report!P195=""),NA(),report!P194/report!P195-1)</f>
        <v>2.7162258756254332E-2</v>
      </c>
      <c r="J194" s="2">
        <f>IF(OR(report!R194="",report!R195=""),NA(),report!R194/report!R195-1)</f>
        <v>1.7231087588045702E-2</v>
      </c>
      <c r="K194" s="2">
        <f>IF(OR(report!T194="",report!T195=""),NA(),report!T194/report!T195-1)</f>
        <v>-4.9072265625E-2</v>
      </c>
      <c r="L194" s="2">
        <f>IF(OR(report!V194="",report!V195=""),NA(),report!V194/report!V195-1)</f>
        <v>-4.0312668324116174E-4</v>
      </c>
    </row>
    <row r="195" spans="1:12" x14ac:dyDescent="0.75">
      <c r="A195" s="1">
        <f>report!A195</f>
        <v>44651.041250000002</v>
      </c>
      <c r="B195" s="2">
        <f>IF(OR(report!B195="",report!B196=""),NA(),report!B195/report!B196-1)</f>
        <v>-4.5151033386327422E-2</v>
      </c>
      <c r="C195" s="2">
        <f>IF(OR(report!D195="",report!D196=""),NA(),report!D195/report!D196-1)</f>
        <v>0.19042316258351888</v>
      </c>
      <c r="D195" s="2">
        <f>IF(OR(report!F195="",report!F196=""),NA(),report!F195/report!F196-1)</f>
        <v>-3.9922480620155132E-2</v>
      </c>
      <c r="E195" s="2">
        <f>IF(OR(report!H195="",report!H196=""),NA(),report!H195/report!H196-1)</f>
        <v>2.7322230360156796E-2</v>
      </c>
      <c r="F195" s="2">
        <f>IF(OR(report!J195="",report!J196=""),NA(),report!J195/report!J196-1)</f>
        <v>0.11016257144978092</v>
      </c>
      <c r="G195" s="2">
        <f>IF(OR(report!L195="",report!L196=""),NA(),report!L195/report!L196-1)</f>
        <v>3.201452205123978E-2</v>
      </c>
      <c r="H195" s="2">
        <f>IF(OR(report!N195="",report!N196=""),NA(),report!N195/report!N196-1)</f>
        <v>2.3840627041149531E-2</v>
      </c>
      <c r="I195" s="2">
        <f>IF(OR(report!P195="",report!P196=""),NA(),report!P195/report!P196-1)</f>
        <v>-1.7901017901017835E-2</v>
      </c>
      <c r="J195" s="2">
        <f>IF(OR(report!R195="",report!R196=""),NA(),report!R195/report!R196-1)</f>
        <v>0.11828579057451827</v>
      </c>
      <c r="K195" s="2">
        <f>IF(OR(report!T195="",report!T196=""),NA(),report!T195/report!T196-1)</f>
        <v>0.1352549889135255</v>
      </c>
      <c r="L195" s="2">
        <f>IF(OR(report!V195="",report!V196=""),NA(),report!V195/report!V196-1)</f>
        <v>2.9981372345013746E-3</v>
      </c>
    </row>
    <row r="196" spans="1:12" x14ac:dyDescent="0.75">
      <c r="A196" s="1">
        <f>report!A196</f>
        <v>44680.041250000002</v>
      </c>
      <c r="B196" s="2">
        <f>IF(OR(report!B196="",report!B197=""),NA(),report!B196/report!B197-1)</f>
        <v>-2.8121137206427727E-2</v>
      </c>
      <c r="C196" s="2">
        <f>IF(OR(report!D196="",report!D197=""),NA(),report!D196/report!D197-1)</f>
        <v>-3.0237580993520474E-2</v>
      </c>
      <c r="D196" s="2">
        <f>IF(OR(report!F196="",report!F197=""),NA(),report!F196/report!F197-1)</f>
        <v>0</v>
      </c>
      <c r="E196" s="2">
        <f>IF(OR(report!H196="",report!H197=""),NA(),report!H196/report!H197-1)</f>
        <v>6.2851147363433224E-2</v>
      </c>
      <c r="F196" s="2">
        <f>IF(OR(report!J196="",report!J197=""),NA(),report!J196/report!J197-1)</f>
        <v>5.5803746375107766E-2</v>
      </c>
      <c r="G196" s="2">
        <f>IF(OR(report!L196="",report!L197=""),NA(),report!L196/report!L197-1)</f>
        <v>3.6474813991276722E-2</v>
      </c>
      <c r="H196" s="2">
        <f>IF(OR(report!N196="",report!N197=""),NA(),report!N196/report!N197-1)</f>
        <v>1.7613825191093335E-2</v>
      </c>
      <c r="I196" s="2">
        <f>IF(OR(report!P196="",report!P197=""),NA(),report!P196/report!P197-1)</f>
        <v>-6.498194945848379E-2</v>
      </c>
      <c r="J196" s="2">
        <f>IF(OR(report!R196="",report!R197=""),NA(),report!R196/report!R197-1)</f>
        <v>-2.9120760423417491E-2</v>
      </c>
      <c r="K196" s="2">
        <f>IF(OR(report!T196="",report!T197=""),NA(),report!T196/report!T197-1)</f>
        <v>-8.3825752370482176E-3</v>
      </c>
      <c r="L196" s="2">
        <f>IF(OR(report!V196="",report!V197=""),NA(),report!V196/report!V197-1)</f>
        <v>-8.6581161318746158E-3</v>
      </c>
    </row>
    <row r="197" spans="1:12" x14ac:dyDescent="0.75">
      <c r="A197" s="1">
        <f>report!A197</f>
        <v>44712.041250000002</v>
      </c>
      <c r="B197" s="2">
        <f>IF(OR(report!B197="",report!B198=""),NA(),report!B197/report!B198-1)</f>
        <v>-9.94339911274289E-3</v>
      </c>
      <c r="C197" s="2">
        <f>IF(OR(report!D197="",report!D198=""),NA(),report!D197/report!D198-1)</f>
        <v>0.18263090676883786</v>
      </c>
      <c r="D197" s="2">
        <f>IF(OR(report!F197="",report!F198=""),NA(),report!F197/report!F198-1)</f>
        <v>7.9678607298292459E-2</v>
      </c>
      <c r="E197" s="2">
        <f>IF(OR(report!H197="",report!H198=""),NA(),report!H197/report!H198-1)</f>
        <v>5.4875218679710125E-2</v>
      </c>
      <c r="F197" s="2">
        <f>IF(OR(report!J197="",report!J198=""),NA(),report!J197/report!J198-1)</f>
        <v>0.13746991174110734</v>
      </c>
      <c r="G197" s="2">
        <f>IF(OR(report!L197="",report!L198=""),NA(),report!L197/report!L198-1)</f>
        <v>5.0820040440350489E-2</v>
      </c>
      <c r="H197" s="2">
        <f>IF(OR(report!N197="",report!N198=""),NA(),report!N197/report!N198-1)</f>
        <v>0.12696629213483157</v>
      </c>
      <c r="I197" s="2">
        <f>IF(OR(report!P197="",report!P198=""),NA(),report!P197/report!P198-1)</f>
        <v>0.11898641204553795</v>
      </c>
      <c r="J197" s="2">
        <f>IF(OR(report!R197="",report!R198=""),NA(),report!R197/report!R198-1)</f>
        <v>0.24301825993555326</v>
      </c>
      <c r="K197" s="2">
        <f>IF(OR(report!T197="",report!T198=""),NA(),report!T197/report!T198-1)</f>
        <v>4.9617770085100155E-2</v>
      </c>
      <c r="L197" s="2">
        <f>IF(OR(report!V197="",report!V198=""),NA(),report!V197/report!V198-1)</f>
        <v>1.8210915702614461E-2</v>
      </c>
    </row>
    <row r="198" spans="1:12" x14ac:dyDescent="0.75">
      <c r="A198" s="1">
        <f>report!A198</f>
        <v>44742.041250000002</v>
      </c>
      <c r="B198" s="2">
        <f>IF(OR(report!B198="",report!B199=""),NA(),report!B198/report!B199-1)</f>
        <v>-9.2587451415880095E-2</v>
      </c>
      <c r="C198" s="2">
        <f>IF(OR(report!D198="",report!D199=""),NA(),report!D198/report!D199-1)</f>
        <v>-4.8602673147023157E-2</v>
      </c>
      <c r="D198" s="2">
        <f>IF(OR(report!F198="",report!F199=""),NA(),report!F198/report!F199-1)</f>
        <v>3.2759961967326445E-2</v>
      </c>
      <c r="E198" s="2">
        <f>IF(OR(report!H198="",report!H199=""),NA(),report!H198/report!H199-1)</f>
        <v>1.3350217076700366E-2</v>
      </c>
      <c r="F198" s="2">
        <f>IF(OR(report!J198="",report!J199=""),NA(),report!J198/report!J199-1)</f>
        <v>-3.293387360979394E-2</v>
      </c>
      <c r="G198" s="2">
        <f>IF(OR(report!L198="",report!L199=""),NA(),report!L198/report!L199-1)</f>
        <v>-0.12205609688745112</v>
      </c>
      <c r="H198" s="2">
        <f>IF(OR(report!N198="",report!N199=""),NA(),report!N198/report!N199-1)</f>
        <v>-0.12972620599739249</v>
      </c>
      <c r="I198" s="2">
        <f>IF(OR(report!P198="",report!P199=""),NA(),report!P198/report!P199-1)</f>
        <v>-9.2938041305796082E-2</v>
      </c>
      <c r="J198" s="2">
        <f>IF(OR(report!R198="",report!R199=""),NA(),report!R198/report!R199-1)</f>
        <v>-9.2061634484103871E-2</v>
      </c>
      <c r="K198" s="2">
        <f>IF(OR(report!T198="",report!T199=""),NA(),report!T198/report!T199-1)</f>
        <v>-6.1078006500541737E-2</v>
      </c>
      <c r="L198" s="2">
        <f>IF(OR(report!V198="",report!V199=""),NA(),report!V198/report!V199-1)</f>
        <v>1.0748891835660856E-2</v>
      </c>
    </row>
    <row r="199" spans="1:12" x14ac:dyDescent="0.75">
      <c r="A199" s="1">
        <f>report!A199</f>
        <v>44771.041250000002</v>
      </c>
      <c r="B199" s="2">
        <f>IF(OR(report!B199="",report!B200=""),NA(),report!B199/report!B200-1)</f>
        <v>8.7888855330715998E-2</v>
      </c>
      <c r="C199" s="2">
        <f>IF(OR(report!D199="",report!D200=""),NA(),report!D199/report!D200-1)</f>
        <v>0.101740294511379</v>
      </c>
      <c r="D199" s="2">
        <f>IF(OR(report!F199="",report!F200=""),NA(),report!F199/report!F200-1)</f>
        <v>5.9820447050201508E-2</v>
      </c>
      <c r="E199" s="2">
        <f>IF(OR(report!H199="",report!H200=""),NA(),report!H199/report!H200-1)</f>
        <v>-3.6396597406219477E-2</v>
      </c>
      <c r="F199" s="2">
        <f>IF(OR(report!J199="",report!J200=""),NA(),report!J199/report!J200-1)</f>
        <v>-2.5130273995629615E-2</v>
      </c>
      <c r="G199" s="2">
        <f>IF(OR(report!L199="",report!L200=""),NA(),report!L199/report!L200-1)</f>
        <v>0.1546941192547715</v>
      </c>
      <c r="H199" s="2">
        <f>IF(OR(report!N199="",report!N200=""),NA(),report!N199/report!N200-1)</f>
        <v>-3.3091711314213734E-2</v>
      </c>
      <c r="I199" s="2">
        <f>IF(OR(report!P199="",report!P200=""),NA(),report!P199/report!P200-1)</f>
        <v>0.10003664345914265</v>
      </c>
      <c r="J199" s="2">
        <f>IF(OR(report!R199="",report!R200=""),NA(),report!R199/report!R200-1)</f>
        <v>0.23848058457636334</v>
      </c>
      <c r="K199" s="2">
        <f>IF(OR(report!T199="",report!T200=""),NA(),report!T199/report!T200-1)</f>
        <v>0.12150668286755772</v>
      </c>
      <c r="L199" s="2">
        <f>IF(OR(report!V199="",report!V200=""),NA(),report!V199/report!V200-1)</f>
        <v>2.5668271692222966E-3</v>
      </c>
    </row>
    <row r="200" spans="1:12" x14ac:dyDescent="0.75">
      <c r="A200" s="1">
        <f>report!A200</f>
        <v>44804.041250000002</v>
      </c>
      <c r="B200" s="2">
        <f>IF(OR(report!B200="",report!B201=""),NA(),report!B200/report!B201-1)</f>
        <v>-6.6929688600817272E-2</v>
      </c>
      <c r="C200" s="2">
        <f>IF(OR(report!D200="",report!D201=""),NA(),report!D200/report!D201-1)</f>
        <v>7.6368876080691539E-2</v>
      </c>
      <c r="D200" s="2">
        <f>IF(OR(report!F200="",report!F201=""),NA(),report!F200/report!F201-1)</f>
        <v>-1.6576576576576629E-2</v>
      </c>
      <c r="E200" s="2">
        <f>IF(OR(report!H200="",report!H201=""),NA(),report!H200/report!H201-1)</f>
        <v>0.12685130622667429</v>
      </c>
      <c r="F200" s="2">
        <f>IF(OR(report!J200="",report!J201=""),NA(),report!J200/report!J201-1)</f>
        <v>-7.9956696566656271E-2</v>
      </c>
      <c r="G200" s="2">
        <f>IF(OR(report!L200="",report!L201=""),NA(),report!L200/report!L201-1)</f>
        <v>0.13805080352514243</v>
      </c>
      <c r="H200" s="2">
        <f>IF(OR(report!N200="",report!N201=""),NA(),report!N200/report!N201-1)</f>
        <v>-0.15251068376068366</v>
      </c>
      <c r="I200" s="2">
        <f>IF(OR(report!P200="",report!P201=""),NA(),report!P200/report!P201-1)</f>
        <v>1.4121144555927057E-2</v>
      </c>
      <c r="J200" s="2">
        <f>IF(OR(report!R200="",report!R201=""),NA(),report!R200/report!R201-1)</f>
        <v>-0.15420369802839917</v>
      </c>
      <c r="K200" s="2">
        <f>IF(OR(report!T200="",report!T201=""),NA(),report!T200/report!T201-1)</f>
        <v>-7.0450374135253346E-2</v>
      </c>
      <c r="L200" s="2">
        <f>IF(OR(report!V200="",report!V201=""),NA(),report!V200/report!V201-1)</f>
        <v>-1.1215040210291738E-2</v>
      </c>
    </row>
    <row r="201" spans="1:12" x14ac:dyDescent="0.75">
      <c r="A201" s="1">
        <f>report!A201</f>
        <v>44834.041250000002</v>
      </c>
      <c r="B201" s="2">
        <f>IF(OR(report!B201="",report!B202=""),NA(),report!B201/report!B202-1)</f>
        <v>-7.4827271542171725E-2</v>
      </c>
      <c r="C201" s="2">
        <f>IF(OR(report!D201="",report!D202=""),NA(),report!D201/report!D202-1)</f>
        <v>-9.8701298701298623E-2</v>
      </c>
      <c r="D201" s="2">
        <f>IF(OR(report!F201="",report!F202=""),NA(),report!F201/report!F202-1)</f>
        <v>1.185050136736554E-2</v>
      </c>
      <c r="E201" s="2">
        <f>IF(OR(report!H201="",report!H202=""),NA(),report!H201/report!H202-1)</f>
        <v>-0.17057673509286397</v>
      </c>
      <c r="F201" s="2">
        <f>IF(OR(report!J201="",report!J202=""),NA(),report!J201/report!J202-1)</f>
        <v>-0.1970195591431233</v>
      </c>
      <c r="G201" s="2">
        <f>IF(OR(report!L201="",report!L202=""),NA(),report!L201/report!L202-1)</f>
        <v>-0.16068398381412352</v>
      </c>
      <c r="H201" s="2">
        <f>IF(OR(report!N201="",report!N202=""),NA(),report!N201/report!N202-1)</f>
        <v>-6.3531765882941404E-2</v>
      </c>
      <c r="I201" s="2">
        <f>IF(OR(report!P201="",report!P202=""),NA(),report!P201/report!P202-1)</f>
        <v>-0.13915547024952024</v>
      </c>
      <c r="J201" s="2">
        <f>IF(OR(report!R201="",report!R202=""),NA(),report!R201/report!R202-1)</f>
        <v>-0.12893753336892677</v>
      </c>
      <c r="K201" s="2">
        <f>IF(OR(report!T201="",report!T202=""),NA(),report!T201/report!T202-1)</f>
        <v>-7.4480595844766739E-2</v>
      </c>
      <c r="L201" s="2">
        <f>IF(OR(report!V201="",report!V202=""),NA(),report!V201/report!V202-1)</f>
        <v>8.5383685423272571E-3</v>
      </c>
    </row>
    <row r="202" spans="1:12" x14ac:dyDescent="0.75">
      <c r="A202" s="1">
        <f>report!A202</f>
        <v>44865.041250000002</v>
      </c>
      <c r="B202" s="2">
        <f>IF(OR(report!B202="",report!B203=""),NA(),report!B202/report!B203-1)</f>
        <v>-6.3827190627288255E-2</v>
      </c>
      <c r="C202" s="2">
        <f>IF(OR(report!D202="",report!D203=""),NA(),report!D202/report!D203-1)</f>
        <v>-0.12994350282485867</v>
      </c>
      <c r="D202" s="2">
        <f>IF(OR(report!F202="",report!F203=""),NA(),report!F202/report!F203-1)</f>
        <v>-7.6987799747580965E-2</v>
      </c>
      <c r="E202" s="2">
        <f>IF(OR(report!H202="",report!H203=""),NA(),report!H202/report!H203-1)</f>
        <v>-1.4324254881808995E-2</v>
      </c>
      <c r="F202" s="2">
        <f>IF(OR(report!J202="",report!J203=""),NA(),report!J202/report!J203-1)</f>
        <v>4.3745949449125021E-2</v>
      </c>
      <c r="G202" s="2">
        <f>IF(OR(report!L202="",report!L203=""),NA(),report!L202/report!L203-1)</f>
        <v>-4.5675372669517933E-2</v>
      </c>
      <c r="H202" s="2">
        <f>IF(OR(report!N202="",report!N203=""),NA(),report!N202/report!N203-1)</f>
        <v>1.1639676113360142E-2</v>
      </c>
      <c r="I202" s="2">
        <f>IF(OR(report!P202="",report!P203=""),NA(),report!P202/report!P203-1)</f>
        <v>-4.6951219512194942E-2</v>
      </c>
      <c r="J202" s="2">
        <f>IF(OR(report!R202="",report!R203=""),NA(),report!R202/report!R203-1)</f>
        <v>-0.13347212583853807</v>
      </c>
      <c r="K202" s="2">
        <f>IF(OR(report!T202="",report!T203=""),NA(),report!T202/report!T203-1)</f>
        <v>-2.4765380604796494E-3</v>
      </c>
      <c r="L202" s="2">
        <f>IF(OR(report!V202="",report!V203=""),NA(),report!V202/report!V203-1)</f>
        <v>-1.9054641826651952E-2</v>
      </c>
    </row>
    <row r="203" spans="1:12" x14ac:dyDescent="0.75">
      <c r="A203" s="1">
        <f>report!A203</f>
        <v>44895.041250000002</v>
      </c>
      <c r="B203" s="2">
        <f>IF(OR(report!B203="",report!B204=""),NA(),report!B203/report!B204-1)</f>
        <v>-5.0995628946089999E-3</v>
      </c>
      <c r="C203" s="2">
        <f>IF(OR(report!D203="",report!D204=""),NA(),report!D203/report!D204-1)</f>
        <v>0.12309644670050757</v>
      </c>
      <c r="D203" s="2">
        <f>IF(OR(report!F203="",report!F204=""),NA(),report!F203/report!F204-1)</f>
        <v>7.2033898305083888E-3</v>
      </c>
      <c r="E203" s="2">
        <f>IF(OR(report!H203="",report!H204=""),NA(),report!H203/report!H204-1)</f>
        <v>0.11538599319362364</v>
      </c>
      <c r="F203" s="2">
        <f>IF(OR(report!J203="",report!J204=""),NA(),report!J203/report!J204-1)</f>
        <v>0.102851833321421</v>
      </c>
      <c r="G203" s="2">
        <f>IF(OR(report!L203="",report!L204=""),NA(),report!L203/report!L204-1)</f>
        <v>-7.6359591930658888E-2</v>
      </c>
      <c r="H203" s="2">
        <f>IF(OR(report!N203="",report!N204=""),NA(),report!N203/report!N204-1)</f>
        <v>-9.4616265750286255E-2</v>
      </c>
      <c r="I203" s="2">
        <f>IF(OR(report!P203="",report!P204=""),NA(),report!P203/report!P204-1)</f>
        <v>-8.1644995464167369E-3</v>
      </c>
      <c r="J203" s="2">
        <f>IF(OR(report!R203="",report!R204=""),NA(),report!R203/report!R204-1)</f>
        <v>8.2283234582325004E-2</v>
      </c>
      <c r="K203" s="2">
        <f>IF(OR(report!T203="",report!T204=""),NA(),report!T203/report!T204-1)</f>
        <v>0.11853039801720366</v>
      </c>
      <c r="L203" s="2">
        <f>IF(OR(report!V203="",report!V204=""),NA(),report!V203/report!V204-1)</f>
        <v>-1.8103960322273793E-2</v>
      </c>
    </row>
    <row r="204" spans="1:12" x14ac:dyDescent="0.75">
      <c r="A204" s="1">
        <f>report!A204</f>
        <v>44925.041250000002</v>
      </c>
      <c r="B204" s="2">
        <f>IF(OR(report!B204="",report!B205=""),NA(),report!B204/report!B205-1)</f>
        <v>-0.12401616677302696</v>
      </c>
      <c r="C204" s="2">
        <f>IF(OR(report!D204="",report!D205=""),NA(),report!D204/report!D205-1)</f>
        <v>-0.21513944223107562</v>
      </c>
      <c r="D204" s="2">
        <f>IF(OR(report!F204="",report!F205=""),NA(),report!F204/report!F205-1)</f>
        <v>-2.3986765922249798E-2</v>
      </c>
      <c r="E204" s="2">
        <f>IF(OR(report!H204="",report!H205=""),NA(),report!H204/report!H205-1)</f>
        <v>-0.14131471284874964</v>
      </c>
      <c r="F204" s="2">
        <f>IF(OR(report!J204="",report!J205=""),NA(),report!J204/report!J205-1)</f>
        <v>-0.10423202509763752</v>
      </c>
      <c r="G204" s="2">
        <f>IF(OR(report!L204="",report!L205=""),NA(),report!L204/report!L205-1)</f>
        <v>-4.8011975610646518E-2</v>
      </c>
      <c r="H204" s="2">
        <f>IF(OR(report!N204="",report!N205=""),NA(),report!N204/report!N205-1)</f>
        <v>-4.1922739244951823E-2</v>
      </c>
      <c r="I204" s="2">
        <f>IF(OR(report!P204="",report!P205=""),NA(),report!P204/report!P205-1)</f>
        <v>-7.9855314412910383E-2</v>
      </c>
      <c r="J204" s="2">
        <f>IF(OR(report!R204="",report!R205=""),NA(),report!R204/report!R205-1)</f>
        <v>-0.10694589357579376</v>
      </c>
      <c r="K204" s="2">
        <f>IF(OR(report!T204="",report!T205=""),NA(),report!T204/report!T205-1)</f>
        <v>-7.0092190889370909E-2</v>
      </c>
      <c r="L204" s="2">
        <f>IF(OR(report!V204="",report!V205=""),NA(),report!V204/report!V205-1)</f>
        <v>-2.3454419403535764E-3</v>
      </c>
    </row>
    <row r="205" spans="1:12" x14ac:dyDescent="0.75">
      <c r="A205" s="1">
        <f>report!A205</f>
        <v>44957.041250000002</v>
      </c>
      <c r="B205" s="2">
        <f>IF(OR(report!B205="",report!B206=""),NA(),report!B205/report!B206-1)</f>
        <v>8.255613126079453E-2</v>
      </c>
      <c r="C205" s="2">
        <f>IF(OR(report!D205="",report!D206=""),NA(),report!D205/report!D206-1)</f>
        <v>9.6069868995632968E-2</v>
      </c>
      <c r="D205" s="2">
        <f>IF(OR(report!F205="",report!F206=""),NA(),report!F205/report!F206-1)</f>
        <v>-3.279999999999994E-2</v>
      </c>
      <c r="E205" s="2">
        <f>IF(OR(report!H205="",report!H206=""),NA(),report!H205/report!H206-1)</f>
        <v>-6.5752794781159474E-2</v>
      </c>
      <c r="F205" s="2">
        <f>IF(OR(report!J205="",report!J206=""),NA(),report!J205/report!J206-1)</f>
        <v>1.1331261331261278E-2</v>
      </c>
      <c r="G205" s="2">
        <f>IF(OR(report!L205="",report!L206=""),NA(),report!L205/report!L206-1)</f>
        <v>2.1177435591514193E-2</v>
      </c>
      <c r="H205" s="2">
        <f>IF(OR(report!N205="",report!N206=""),NA(),report!N205/report!N206-1)</f>
        <v>6.4237327727166615E-2</v>
      </c>
      <c r="I205" s="2">
        <f>IF(OR(report!P205="",report!P206=""),NA(),report!P205/report!P206-1)</f>
        <v>-2.0975211114137915E-2</v>
      </c>
      <c r="J205" s="2">
        <f>IF(OR(report!R205="",report!R206=""),NA(),report!R205/report!R206-1)</f>
        <v>0.22589191905349248</v>
      </c>
      <c r="K205" s="2">
        <f>IF(OR(report!T205="",report!T206=""),NA(),report!T205/report!T206-1)</f>
        <v>2.4302180252742778E-2</v>
      </c>
      <c r="L205" s="2">
        <f>IF(OR(report!V205="",report!V206=""),NA(),report!V205/report!V206-1)</f>
        <v>2.3459114418431515E-3</v>
      </c>
    </row>
    <row r="206" spans="1:12" x14ac:dyDescent="0.75">
      <c r="A206" s="1">
        <f>report!A206</f>
        <v>44985.041250000002</v>
      </c>
      <c r="B206" s="2">
        <f>IF(OR(report!B206="",report!B207=""),NA(),report!B206/report!B207-1)</f>
        <v>-4.2236435818262197E-2</v>
      </c>
      <c r="C206" s="2">
        <f>IF(OR(report!D206="",report!D207=""),NA(),report!D206/report!D207-1)</f>
        <v>-7.3811931243680573E-2</v>
      </c>
      <c r="D206" s="2">
        <f>IF(OR(report!F206="",report!F207=""),NA(),report!F206/report!F207-1)</f>
        <v>-4.9429657794676785E-2</v>
      </c>
      <c r="E206" s="2">
        <f>IF(OR(report!H206="",report!H207=""),NA(),report!H206/report!H207-1)</f>
        <v>-7.5297338923590029E-3</v>
      </c>
      <c r="F206" s="2">
        <f>IF(OR(report!J206="",report!J207=""),NA(),report!J206/report!J207-1)</f>
        <v>1.6721527320605611E-2</v>
      </c>
      <c r="G206" s="2">
        <f>IF(OR(report!L206="",report!L207=""),NA(),report!L206/report!L207-1)</f>
        <v>8.9151369244657719E-3</v>
      </c>
      <c r="H206" s="2">
        <f>IF(OR(report!N206="",report!N207=""),NA(),report!N206/report!N207-1)</f>
        <v>-7.8760490639121938E-2</v>
      </c>
      <c r="I206" s="2">
        <f>IF(OR(report!P206="",report!P207=""),NA(),report!P206/report!P207-1)</f>
        <v>-3.2929399367755519E-2</v>
      </c>
      <c r="J206" s="2">
        <f>IF(OR(report!R206="",report!R207=""),NA(),report!R206/report!R207-1)</f>
        <v>-0.176410835214447</v>
      </c>
      <c r="K206" s="2">
        <f>IF(OR(report!T206="",report!T207=""),NA(),report!T206/report!T207-1)</f>
        <v>-2.7766208524215852E-4</v>
      </c>
      <c r="L206" s="2">
        <f>IF(OR(report!V206="",report!V207=""),NA(),report!V206/report!V207-1)</f>
        <v>-5.5621259394679212E-3</v>
      </c>
    </row>
    <row r="207" spans="1:12" x14ac:dyDescent="0.75">
      <c r="A207" s="1">
        <f>report!A207</f>
        <v>45016.041250000002</v>
      </c>
      <c r="B207" s="2">
        <f>IF(OR(report!B207="",report!B208=""),NA(),report!B207/report!B208-1)</f>
        <v>-5.8359293873312512E-2</v>
      </c>
      <c r="C207" s="2">
        <f>IF(OR(report!D207="",report!D208=""),NA(),report!D207/report!D208-1)</f>
        <v>-8.4259259259259256E-2</v>
      </c>
      <c r="D207" s="2">
        <f>IF(OR(report!F207="",report!F208=""),NA(),report!F207/report!F208-1)</f>
        <v>8.3720222239147546E-4</v>
      </c>
      <c r="E207" s="2">
        <f>IF(OR(report!H207="",report!H208=""),NA(),report!H207/report!H208-1)</f>
        <v>9.6033011347650854E-2</v>
      </c>
      <c r="F207" s="2">
        <f>IF(OR(report!J207="",report!J208=""),NA(),report!J207/report!J208-1)</f>
        <v>-2.3025469513763719E-2</v>
      </c>
      <c r="G207" s="2">
        <f>IF(OR(report!L207="",report!L208=""),NA(),report!L207/report!L208-1)</f>
        <v>-5.5395657890061623E-2</v>
      </c>
      <c r="H207" s="2">
        <f>IF(OR(report!N207="",report!N208=""),NA(),report!N207/report!N208-1)</f>
        <v>-2.9651284192942162E-2</v>
      </c>
      <c r="I207" s="2">
        <f>IF(OR(report!P207="",report!P208=""),NA(),report!P207/report!P208-1)</f>
        <v>-6.9151544874938686E-2</v>
      </c>
      <c r="J207" s="2">
        <f>IF(OR(report!R207="",report!R208=""),NA(),report!R207/report!R208-1)</f>
        <v>-3.7967353143436244E-2</v>
      </c>
      <c r="K207" s="2">
        <f>IF(OR(report!T207="",report!T208=""),NA(),report!T207/report!T208-1)</f>
        <v>-6.3457028555662376E-3</v>
      </c>
      <c r="L207" s="2">
        <f>IF(OR(report!V207="",report!V208=""),NA(),report!V207/report!V208-1)</f>
        <v>2.9932985985463567E-3</v>
      </c>
    </row>
    <row r="208" spans="1:12" x14ac:dyDescent="0.75">
      <c r="A208" s="1">
        <f>report!A208</f>
        <v>45044.041250000002</v>
      </c>
      <c r="B208" s="2">
        <f>IF(OR(report!B208="",report!B209=""),NA(),report!B208/report!B209-1)</f>
        <v>1.8401015228426409E-2</v>
      </c>
      <c r="C208" s="2">
        <f>IF(OR(report!D208="",report!D209=""),NA(),report!D208/report!D209-1)</f>
        <v>1.5037593984962516E-2</v>
      </c>
      <c r="D208" s="2">
        <f>IF(OR(report!F208="",report!F209=""),NA(),report!F208/report!F209-1)</f>
        <v>-2.6740740740740843E-2</v>
      </c>
      <c r="E208" s="2">
        <f>IF(OR(report!H208="",report!H209=""),NA(),report!H208/report!H209-1)</f>
        <v>2.2110745438859825E-2</v>
      </c>
      <c r="F208" s="2">
        <f>IF(OR(report!J208="",report!J209=""),NA(),report!J208/report!J209-1)</f>
        <v>9.6551237745962304E-2</v>
      </c>
      <c r="G208" s="2">
        <f>IF(OR(report!L208="",report!L209=""),NA(),report!L208/report!L209-1)</f>
        <v>3.5125790790054401E-2</v>
      </c>
      <c r="H208" s="2">
        <f>IF(OR(report!N208="",report!N209=""),NA(),report!N208/report!N209-1)</f>
        <v>8.422005886348205E-2</v>
      </c>
      <c r="I208" s="2">
        <f>IF(OR(report!P208="",report!P209=""),NA(),report!P208/report!P209-1)</f>
        <v>0.13340744858254605</v>
      </c>
      <c r="J208" s="2">
        <f>IF(OR(report!R208="",report!R209=""),NA(),report!R208/report!R209-1)</f>
        <v>2.0725580020688694E-2</v>
      </c>
      <c r="K208" s="2">
        <f>IF(OR(report!T208="",report!T209=""),NA(),report!T208/report!T209-1)</f>
        <v>7.8399285926807449E-2</v>
      </c>
      <c r="L208" s="2">
        <f>IF(OR(report!V208="",report!V209=""),NA(),report!V208/report!V209-1)</f>
        <v>-2.1484876325607027E-3</v>
      </c>
    </row>
    <row r="209" spans="1:12" x14ac:dyDescent="0.75">
      <c r="A209" s="1">
        <f>report!A209</f>
        <v>45077.041250000002</v>
      </c>
      <c r="B209" s="2">
        <f>IF(OR(report!B209="",report!B210=""),NA(),report!B209/report!B210-1)</f>
        <v>3.1751227495908418E-2</v>
      </c>
      <c r="C209" s="2">
        <f>IF(OR(report!D209="",report!D210=""),NA(),report!D209/report!D210-1)</f>
        <v>-0.1206611570247933</v>
      </c>
      <c r="D209" s="2">
        <f>IF(OR(report!F209="",report!F210=""),NA(),report!F209/report!F210-1)</f>
        <v>-1.4598540145985384E-2</v>
      </c>
      <c r="E209" s="2">
        <f>IF(OR(report!H209="",report!H210=""),NA(),report!H209/report!H210-1)</f>
        <v>1.868307131465019E-2</v>
      </c>
      <c r="F209" s="2">
        <f>IF(OR(report!J209="",report!J210=""),NA(),report!J209/report!J210-1)</f>
        <v>4.1073578358472584E-3</v>
      </c>
      <c r="G209" s="2">
        <f>IF(OR(report!L209="",report!L210=""),NA(),report!L209/report!L210-1)</f>
        <v>-1.0553897663585277E-2</v>
      </c>
      <c r="H209" s="2">
        <f>IF(OR(report!N209="",report!N210=""),NA(),report!N209/report!N210-1)</f>
        <v>-5.8519018681071344E-3</v>
      </c>
      <c r="I209" s="2">
        <f>IF(OR(report!P209="",report!P210=""),NA(),report!P209/report!P210-1)</f>
        <v>-5.4898870501707497E-2</v>
      </c>
      <c r="J209" s="2">
        <f>IF(OR(report!R209="",report!R210=""),NA(),report!R209/report!R210-1)</f>
        <v>0.1258162458927754</v>
      </c>
      <c r="K209" s="2">
        <f>IF(OR(report!T209="",report!T210=""),NA(),report!T209/report!T210-1)</f>
        <v>-7.3833431777908798E-3</v>
      </c>
      <c r="L209" s="2">
        <f>IF(OR(report!V209="",report!V210=""),NA(),report!V209/report!V210-1)</f>
        <v>1.4169139902388661E-2</v>
      </c>
    </row>
    <row r="210" spans="1:12" x14ac:dyDescent="0.75">
      <c r="A210" s="1">
        <f>report!A210</f>
        <v>45107.041250000002</v>
      </c>
      <c r="B210" s="2">
        <f>IF(OR(report!B210="",report!B211=""),NA(),report!B210/report!B211-1)</f>
        <v>5.5753945397995608E-2</v>
      </c>
      <c r="C210" s="2">
        <f>IF(OR(report!D210="",report!D211=""),NA(),report!D210/report!D211-1)</f>
        <v>-4.8742138364779919E-2</v>
      </c>
      <c r="D210" s="2">
        <f>IF(OR(report!F210="",report!F211=""),NA(),report!F210/report!F211-1)</f>
        <v>-8.666666666666667E-2</v>
      </c>
      <c r="E210" s="2">
        <f>IF(OR(report!H210="",report!H211=""),NA(),report!H210/report!H211-1)</f>
        <v>-3.7047484720263313E-2</v>
      </c>
      <c r="F210" s="2">
        <f>IF(OR(report!J210="",report!J211=""),NA(),report!J210/report!J211-1)</f>
        <v>-0.11026400352844812</v>
      </c>
      <c r="G210" s="2">
        <f>IF(OR(report!L210="",report!L211=""),NA(),report!L210/report!L211-1)</f>
        <v>-8.5225381183833937E-2</v>
      </c>
      <c r="H210" s="2">
        <f>IF(OR(report!N210="",report!N211=""),NA(),report!N210/report!N211-1)</f>
        <v>-9.0667212443716783E-2</v>
      </c>
      <c r="I210" s="2">
        <f>IF(OR(report!P210="",report!P211=""),NA(),report!P210/report!P211-1)</f>
        <v>-3.1790437436419072E-2</v>
      </c>
      <c r="J210" s="2">
        <f>IF(OR(report!R210="",report!R211=""),NA(),report!R210/report!R211-1)</f>
        <v>4.1765860585556425E-3</v>
      </c>
      <c r="K210" s="2">
        <f>IF(OR(report!T210="",report!T211=""),NA(),report!T210/report!T211-1)</f>
        <v>-2.8546836895710692E-2</v>
      </c>
      <c r="L210" s="2">
        <f>IF(OR(report!V210="",report!V211=""),NA(),report!V210/report!V211-1)</f>
        <v>1.8099660367921322E-2</v>
      </c>
    </row>
    <row r="211" spans="1:12" x14ac:dyDescent="0.75">
      <c r="A211" s="1">
        <f>report!A211</f>
        <v>45138.041250000002</v>
      </c>
      <c r="B211" s="2">
        <f>IF(OR(report!B211="",report!B212=""),NA(),report!B211/report!B212-1)</f>
        <v>3.4930853600381617E-2</v>
      </c>
      <c r="C211" s="2">
        <f>IF(OR(report!D211="",report!D212=""),NA(),report!D211/report!D212-1)</f>
        <v>-5.4275092936802882E-2</v>
      </c>
      <c r="D211" s="2">
        <f>IF(OR(report!F211="",report!F212=""),NA(),report!F211/report!F212-1)</f>
        <v>1.6949152542372836E-2</v>
      </c>
      <c r="E211" s="2">
        <f>IF(OR(report!H211="",report!H212=""),NA(),report!H211/report!H212-1)</f>
        <v>1.8483049224286674E-2</v>
      </c>
      <c r="F211" s="2">
        <f>IF(OR(report!J211="",report!J212=""),NA(),report!J211/report!J212-1)</f>
        <v>9.894751419471004E-2</v>
      </c>
      <c r="G211" s="2">
        <f>IF(OR(report!L211="",report!L212=""),NA(),report!L211/report!L212-1)</f>
        <v>5.533499631100014E-2</v>
      </c>
      <c r="H211" s="2">
        <f>IF(OR(report!N211="",report!N212=""),NA(),report!N211/report!N212-1)</f>
        <v>0.18247821878025161</v>
      </c>
      <c r="I211" s="2">
        <f>IF(OR(report!P211="",report!P212=""),NA(),report!P211/report!P212-1)</f>
        <v>2.5026068821689229E-2</v>
      </c>
      <c r="J211" s="2">
        <f>IF(OR(report!R211="",report!R212=""),NA(),report!R211/report!R212-1)</f>
        <v>-7.1736606402388325E-3</v>
      </c>
      <c r="K211" s="2">
        <f>IF(OR(report!T211="",report!T212=""),NA(),report!T211/report!T212-1)</f>
        <v>3.7814500521065941E-2</v>
      </c>
      <c r="L211" s="2">
        <f>IF(OR(report!V211="",report!V212=""),NA(),report!V211/report!V212-1)</f>
        <v>-6.2671128132842924E-3</v>
      </c>
    </row>
    <row r="212" spans="1:12" x14ac:dyDescent="0.75">
      <c r="A212" s="1">
        <f>report!A212</f>
        <v>45169.041250000002</v>
      </c>
      <c r="B212" s="2">
        <f>IF(OR(report!B212="",report!B213=""),NA(),report!B212/report!B213-1)</f>
        <v>-1.6662699357296029E-3</v>
      </c>
      <c r="C212" s="2">
        <f>IF(OR(report!D212="",report!D213=""),NA(),report!D212/report!D213-1)</f>
        <v>0.18293755496921715</v>
      </c>
      <c r="D212" s="2">
        <f>IF(OR(report!F212="",report!F213=""),NA(),report!F212/report!F213-1)</f>
        <v>-1.6666666666666718E-2</v>
      </c>
      <c r="E212" s="2">
        <f>IF(OR(report!H212="",report!H213=""),NA(),report!H212/report!H213-1)</f>
        <v>9.3632174277335611E-2</v>
      </c>
      <c r="F212" s="2">
        <f>IF(OR(report!J212="",report!J213=""),NA(),report!J212/report!J213-1)</f>
        <v>-1.1566627883101921E-2</v>
      </c>
      <c r="G212" s="2">
        <f>IF(OR(report!L212="",report!L213=""),NA(),report!L212/report!L213-1)</f>
        <v>-4.6401768962744616E-2</v>
      </c>
      <c r="H212" s="2">
        <f>IF(OR(report!N212="",report!N213=""),NA(),report!N212/report!N213-1)</f>
        <v>8.2967301122500725E-3</v>
      </c>
      <c r="I212" s="2">
        <f>IF(OR(report!P212="",report!P213=""),NA(),report!P212/report!P213-1)</f>
        <v>0.10547550432276642</v>
      </c>
      <c r="J212" s="2">
        <f>IF(OR(report!R212="",report!R213=""),NA(),report!R212/report!R213-1)</f>
        <v>0.17381357994645907</v>
      </c>
      <c r="K212" s="2">
        <f>IF(OR(report!T212="",report!T213=""),NA(),report!T212/report!T213-1)</f>
        <v>2.3932926829268508E-2</v>
      </c>
      <c r="L212" s="2">
        <f>IF(OR(report!V212="",report!V213=""),NA(),report!V212/report!V213-1)</f>
        <v>-2.1942717443850235E-3</v>
      </c>
    </row>
    <row r="213" spans="1:12" x14ac:dyDescent="0.75">
      <c r="A213" s="1">
        <f>report!A213</f>
        <v>45198.041250000002</v>
      </c>
      <c r="B213" s="2">
        <f>IF(OR(report!B213="",report!B214=""),NA(),report!B213/report!B214-1)</f>
        <v>0.14499863723085316</v>
      </c>
      <c r="C213" s="2">
        <f>IF(OR(report!D213="",report!D214=""),NA(),report!D213/report!D214-1)</f>
        <v>4.9861495844875314E-2</v>
      </c>
      <c r="D213" s="2">
        <f>IF(OR(report!F213="",report!F214=""),NA(),report!F213/report!F214-1)</f>
        <v>-2.5974025974025983E-2</v>
      </c>
      <c r="E213" s="2">
        <f>IF(OR(report!H213="",report!H214=""),NA(),report!H213/report!H214-1)</f>
        <v>0.36198944415386802</v>
      </c>
      <c r="F213" s="2">
        <f>IF(OR(report!J213="",report!J214=""),NA(),report!J213/report!J214-1)</f>
        <v>-1.4352104975394742E-3</v>
      </c>
      <c r="G213" s="2">
        <f>IF(OR(report!L213="",report!L214=""),NA(),report!L213/report!L214-1)</f>
        <v>-4.8608676250278871E-2</v>
      </c>
      <c r="H213" s="2">
        <f>IF(OR(report!N213="",report!N214=""),NA(),report!N213/report!N214-1)</f>
        <v>2.4408103490358712E-4</v>
      </c>
      <c r="I213" s="2">
        <f>IF(OR(report!P213="",report!P214=""),NA(),report!P213/report!P214-1)</f>
        <v>4.992435703479603E-2</v>
      </c>
      <c r="J213" s="2">
        <f>IF(OR(report!R213="",report!R214=""),NA(),report!R213/report!R214-1)</f>
        <v>2.0768122422616386E-2</v>
      </c>
      <c r="K213" s="2">
        <f>IF(OR(report!T213="",report!T214=""),NA(),report!T213/report!T214-1)</f>
        <v>1.6581434991476796E-2</v>
      </c>
      <c r="L213" s="2">
        <f>IF(OR(report!V213="",report!V214=""),NA(),report!V213/report!V214-1)</f>
        <v>-4.9104017804187938E-3</v>
      </c>
    </row>
    <row r="214" spans="1:12" x14ac:dyDescent="0.75">
      <c r="A214" s="1">
        <f>report!A214</f>
        <v>45230.041250000002</v>
      </c>
      <c r="B214" s="2">
        <f>IF(OR(report!B214="",report!B215=""),NA(),report!B214/report!B215-1)</f>
        <v>-0.16271109082610691</v>
      </c>
      <c r="C214" s="2">
        <f>IF(OR(report!D214="",report!D215=""),NA(),report!D214/report!D215-1)</f>
        <v>-0.10273405136702574</v>
      </c>
      <c r="D214" s="2">
        <f>IF(OR(report!F214="",report!F215=""),NA(),report!F214/report!F215-1)</f>
        <v>-6.6666666666666652E-2</v>
      </c>
      <c r="E214" s="2">
        <f>IF(OR(report!H214="",report!H215=""),NA(),report!H214/report!H215-1)</f>
        <v>-0.20505745388569696</v>
      </c>
      <c r="F214" s="2">
        <f>IF(OR(report!J214="",report!J215=""),NA(),report!J214/report!J215-1)</f>
        <v>-9.4049904030710119E-2</v>
      </c>
      <c r="G214" s="2">
        <f>IF(OR(report!L214="",report!L215=""),NA(),report!L214/report!L215-1)</f>
        <v>-2.5319995029203346E-2</v>
      </c>
      <c r="H214" s="2">
        <f>IF(OR(report!N214="",report!N215=""),NA(),report!N214/report!N215-1)</f>
        <v>-7.055353901996364E-2</v>
      </c>
      <c r="I214" s="2">
        <f>IF(OR(report!P214="",report!P215=""),NA(),report!P214/report!P215-1)</f>
        <v>-5.9476380193511758E-2</v>
      </c>
      <c r="J214" s="2">
        <f>IF(OR(report!R214="",report!R215=""),NA(),report!R214/report!R215-1)</f>
        <v>-0.20993130520117753</v>
      </c>
      <c r="K214" s="2">
        <f>IF(OR(report!T214="",report!T215=""),NA(),report!T214/report!T215-1)</f>
        <v>-5.2283742106036146E-2</v>
      </c>
      <c r="L214" s="2">
        <f>IF(OR(report!V214="",report!V215=""),NA(),report!V214/report!V215-1)</f>
        <v>7.4508717109758038E-3</v>
      </c>
    </row>
    <row r="215" spans="1:12" x14ac:dyDescent="0.75">
      <c r="A215" s="1">
        <f>report!A215</f>
        <v>45260.041250000002</v>
      </c>
      <c r="B215" s="2">
        <f>IF(OR(report!B215="",report!B216=""),NA(),report!B215/report!B216-1)</f>
        <v>1.966259453170438E-2</v>
      </c>
      <c r="C215" s="2">
        <f>IF(OR(report!D215="",report!D216=""),NA(),report!D215/report!D216-1)</f>
        <v>-8.698940998487148E-2</v>
      </c>
      <c r="D215" s="2">
        <f>IF(OR(report!F215="",report!F216=""),NA(),report!F215/report!F216-1)</f>
        <v>-3.8629610208005594E-2</v>
      </c>
      <c r="E215" s="2">
        <f>IF(OR(report!H215="",report!H216=""),NA(),report!H215/report!H216-1)</f>
        <v>-0.1075127348783862</v>
      </c>
      <c r="F215" s="2">
        <f>IF(OR(report!J215="",report!J216=""),NA(),report!J215/report!J216-1)</f>
        <v>-5.4169594752869532E-2</v>
      </c>
      <c r="G215" s="2">
        <f>IF(OR(report!L215="",report!L216=""),NA(),report!L215/report!L216-1)</f>
        <v>3.4518223307835827E-2</v>
      </c>
      <c r="H215" s="2">
        <f>IF(OR(report!N215="",report!N216=""),NA(),report!N215/report!N216-1)</f>
        <v>-4.3817787418655163E-2</v>
      </c>
      <c r="I215" s="2">
        <f>IF(OR(report!P215="",report!P216=""),NA(),report!P215/report!P216-1)</f>
        <v>-7.9381713387477126E-2</v>
      </c>
      <c r="J215" s="2">
        <f>IF(OR(report!R215="",report!R216=""),NA(),report!R215/report!R216-1)</f>
        <v>2.6224621334192788E-2</v>
      </c>
      <c r="K215" s="2">
        <f>IF(OR(report!T215="",report!T216=""),NA(),report!T215/report!T216-1)</f>
        <v>-4.8623725024451447E-2</v>
      </c>
      <c r="L215" s="2">
        <f>IF(OR(report!V215="",report!V216=""),NA(),report!V215/report!V216-1)</f>
        <v>7.454253520533527E-4</v>
      </c>
    </row>
    <row r="216" spans="1:12" x14ac:dyDescent="0.75">
      <c r="A216" s="1">
        <f>report!A216</f>
        <v>45289.041250000002</v>
      </c>
      <c r="B216" s="2">
        <f>IF(OR(report!B216="",report!B217=""),NA(),report!B216/report!B217-1)</f>
        <v>9.4625573102394389E-2</v>
      </c>
      <c r="C216" s="2">
        <f>IF(OR(report!D216="",report!D217=""),NA(),report!D216/report!D217-1)</f>
        <v>-7.5524475524475498E-2</v>
      </c>
      <c r="D216" s="2">
        <f>IF(OR(report!F216="",report!F217=""),NA(),report!F216/report!F217-1)</f>
        <v>0</v>
      </c>
      <c r="E216" s="2">
        <f>IF(OR(report!H216="",report!H217=""),NA(),report!H216/report!H217-1)</f>
        <v>0.10628848665795854</v>
      </c>
      <c r="F216" s="2">
        <f>IF(OR(report!J216="",report!J217=""),NA(),report!J216/report!J217-1)</f>
        <v>-2.4563006969039236E-2</v>
      </c>
      <c r="G216" s="2">
        <f>IF(OR(report!L216="",report!L217=""),NA(),report!L216/report!L217-1)</f>
        <v>-3.4326505276225938E-2</v>
      </c>
      <c r="H216" s="2">
        <f>IF(OR(report!N216="",report!N217=""),NA(),report!N216/report!N217-1)</f>
        <v>1.6986543128171272E-2</v>
      </c>
      <c r="I216" s="2">
        <f>IF(OR(report!P216="",report!P217=""),NA(),report!P216/report!P217-1)</f>
        <v>-2.726809378185524E-2</v>
      </c>
      <c r="J216" s="2">
        <f>IF(OR(report!R216="",report!R217=""),NA(),report!R216/report!R217-1)</f>
        <v>9.6757091101882242E-2</v>
      </c>
      <c r="K216" s="2">
        <f>IF(OR(report!T216="",report!T217=""),NA(),report!T216/report!T217-1)</f>
        <v>6.4688510757979767E-3</v>
      </c>
      <c r="L216" s="2">
        <f>IF(OR(report!V216="",report!V217=""),NA(),report!V216/report!V217-1)</f>
        <v>1.0591215036916957E-3</v>
      </c>
    </row>
    <row r="217" spans="1:12" x14ac:dyDescent="0.75">
      <c r="A217" s="1">
        <f>report!A217</f>
        <v>45322.041250000002</v>
      </c>
      <c r="B217" s="2">
        <f>IF(OR(report!B217="",report!B218=""),NA(),report!B217/report!B218-1)</f>
        <v>0.10126227208976157</v>
      </c>
      <c r="C217" s="2">
        <f>IF(OR(report!D217="",report!D218=""),NA(),report!D217/report!D218-1)</f>
        <v>9.7467382962394655E-2</v>
      </c>
      <c r="D217" s="2">
        <f>IF(OR(report!F217="",report!F218=""),NA(),report!F217/report!F218-1)</f>
        <v>5.0367197062423541E-2</v>
      </c>
      <c r="E217" s="2">
        <f>IF(OR(report!H217="",report!H218=""),NA(),report!H217/report!H218-1)</f>
        <v>6.4687884928676498E-2</v>
      </c>
      <c r="F217" s="2">
        <f>IF(OR(report!J217="",report!J218=""),NA(),report!J217/report!J218-1)</f>
        <v>-6.5826807399841369E-3</v>
      </c>
      <c r="G217" s="2">
        <f>IF(OR(report!L217="",report!L218=""),NA(),report!L217/report!L218-1)</f>
        <v>6.1509570717886319E-2</v>
      </c>
      <c r="H217" s="2">
        <f>IF(OR(report!N217="",report!N218=""),NA(),report!N217/report!N218-1)</f>
        <v>-3.3475479744136449E-2</v>
      </c>
      <c r="I217" s="2">
        <f>IF(OR(report!P217="",report!P218=""),NA(),report!P217/report!P218-1)</f>
        <v>3.5902851108764455E-2</v>
      </c>
      <c r="J217" s="2">
        <f>IF(OR(report!R217="",report!R218=""),NA(),report!R217/report!R218-1)</f>
        <v>5.9743421668695618E-2</v>
      </c>
      <c r="K217" s="2">
        <f>IF(OR(report!T217="",report!T218=""),NA(),report!T217/report!T218-1)</f>
        <v>4.1904761904761889E-2</v>
      </c>
      <c r="L217" s="2">
        <f>IF(OR(report!V217="",report!V218=""),NA(),report!V217/report!V218-1)</f>
        <v>-1.353224446702983E-2</v>
      </c>
    </row>
    <row r="218" spans="1:12" x14ac:dyDescent="0.75">
      <c r="A218" s="1">
        <f>report!A218</f>
        <v>45351.041250000002</v>
      </c>
      <c r="B218" s="2">
        <f>IF(OR(report!B218="",report!B219=""),NA(),report!B218/report!B219-1)</f>
        <v>-9.1372499044220734E-2</v>
      </c>
      <c r="C218" s="2">
        <f>IF(OR(report!D218="",report!D219=""),NA(),report!D218/report!D219-1)</f>
        <v>-0.11179277436946156</v>
      </c>
      <c r="D218" s="2">
        <f>IF(OR(report!F218="",report!F219=""),NA(),report!F218/report!F219-1)</f>
        <v>0</v>
      </c>
      <c r="E218" s="2">
        <f>IF(OR(report!H218="",report!H219=""),NA(),report!H218/report!H219-1)</f>
        <v>-5.7451031796561969E-2</v>
      </c>
      <c r="F218" s="2">
        <f>IF(OR(report!J218="",report!J219=""),NA(),report!J218/report!J219-1)</f>
        <v>-8.5048477632254649E-4</v>
      </c>
      <c r="G218" s="2">
        <f>IF(OR(report!L218="",report!L219=""),NA(),report!L218/report!L219-1)</f>
        <v>-2.3014033732457917E-2</v>
      </c>
      <c r="H218" s="2">
        <f>IF(OR(report!N218="",report!N219=""),NA(),report!N218/report!N219-1)</f>
        <v>4.7342563644484192E-2</v>
      </c>
      <c r="I218" s="2">
        <f>IF(OR(report!P218="",report!P219=""),NA(),report!P218/report!P219-1)</f>
        <v>-1.865284974093262E-2</v>
      </c>
      <c r="J218" s="2">
        <f>IF(OR(report!R218="",report!R219=""),NA(),report!R218/report!R219-1)</f>
        <v>-9.1032897816742508E-2</v>
      </c>
      <c r="K218" s="2">
        <f>IF(OR(report!T218="",report!T219=""),NA(),report!T218/report!T219-1)</f>
        <v>1.8656716417910557E-2</v>
      </c>
      <c r="L218" s="2">
        <f>IF(OR(report!V218="",report!V219=""),NA(),report!V218/report!V219-1)</f>
        <v>-1.1764715070642695E-2</v>
      </c>
    </row>
    <row r="219" spans="1:12" x14ac:dyDescent="0.75">
      <c r="A219" s="1">
        <f>report!A219</f>
        <v>45378.041250000002</v>
      </c>
      <c r="B219" s="2">
        <f>IF(OR(report!B219="",report!B220=""),NA(),report!B219/report!B220-1)</f>
        <v>9.3201448871552017E-2</v>
      </c>
      <c r="C219" s="2">
        <f>IF(OR(report!D219="",report!D220=""),NA(),report!D219/report!D220-1)</f>
        <v>8.1061164333087632E-2</v>
      </c>
      <c r="D219" s="2">
        <f>IF(OR(report!F219="",report!F220=""),NA(),report!F219/report!F220-1)</f>
        <v>5.4193548387096779E-2</v>
      </c>
      <c r="E219" s="2">
        <f>IF(OR(report!H219="",report!H220=""),NA(),report!H219/report!H220-1)</f>
        <v>-0.14425357348887891</v>
      </c>
      <c r="F219" s="2">
        <f>IF(OR(report!J219="",report!J220=""),NA(),report!J219/report!J220-1)</f>
        <v>4.0224122677676055E-2</v>
      </c>
      <c r="G219" s="2">
        <f>IF(OR(report!L219="",report!L220=""),NA(),report!L219/report!L220-1)</f>
        <v>-7.6621292278428288E-2</v>
      </c>
      <c r="H219" s="2">
        <f>IF(OR(report!N219="",report!N220=""),NA(),report!N219/report!N220-1)</f>
        <v>-8.5749285422621391E-2</v>
      </c>
      <c r="I219" s="2">
        <f>IF(OR(report!P219="",report!P220=""),NA(),report!P219/report!P220-1)</f>
        <v>8.2445316881660347E-2</v>
      </c>
      <c r="J219" s="2">
        <f>IF(OR(report!R219="",report!R220=""),NA(),report!R219/report!R220-1)</f>
        <v>-5.4865049676199762E-2</v>
      </c>
      <c r="K219" s="2">
        <f>IF(OR(report!T219="",report!T220=""),NA(),report!T219/report!T220-1)</f>
        <v>4.8185231539424223E-2</v>
      </c>
      <c r="L219" s="2">
        <f>IF(OR(report!V219="",report!V220=""),NA(),report!V219/report!V220-1)</f>
        <v>1.6772654077353844E-2</v>
      </c>
    </row>
    <row r="220" spans="1:12" x14ac:dyDescent="0.75">
      <c r="A220" s="1">
        <f>report!A220</f>
        <v>45412.041250000002</v>
      </c>
      <c r="B220" s="2">
        <f>IF(OR(report!B220="",report!B221=""),NA(),report!B220/report!B221-1)</f>
        <v>0.1234935044607921</v>
      </c>
      <c r="C220" s="2">
        <f>IF(OR(report!D220="",report!D221=""),NA(),report!D220/report!D221-1)</f>
        <v>6.2646828504306917E-2</v>
      </c>
      <c r="D220" s="2">
        <f>IF(OR(report!F220="",report!F221=""),NA(),report!F220/report!F221-1)</f>
        <v>1.9736842105263053E-2</v>
      </c>
      <c r="E220" s="2">
        <f>IF(OR(report!H220="",report!H221=""),NA(),report!H220/report!H221-1)</f>
        <v>-2.2585596591799151E-2</v>
      </c>
      <c r="F220" s="2">
        <f>IF(OR(report!J220="",report!J221=""),NA(),report!J220/report!J221-1)</f>
        <v>5.0690958666418817E-2</v>
      </c>
      <c r="G220" s="2">
        <f>IF(OR(report!L220="",report!L221=""),NA(),report!L220/report!L221-1)</f>
        <v>2.1743091406012605E-2</v>
      </c>
      <c r="H220" s="2">
        <f>IF(OR(report!N220="",report!N221=""),NA(),report!N220/report!N221-1)</f>
        <v>-4.6896283323603849E-2</v>
      </c>
      <c r="I220" s="2">
        <f>IF(OR(report!P220="",report!P221=""),NA(),report!P220/report!P221-1)</f>
        <v>1.9668446192748767E-3</v>
      </c>
      <c r="J220" s="2">
        <f>IF(OR(report!R220="",report!R221=""),NA(),report!R220/report!R221-1)</f>
        <v>-7.4147177119022634E-2</v>
      </c>
      <c r="K220" s="2">
        <f>IF(OR(report!T220="",report!T221=""),NA(),report!T220/report!T221-1)</f>
        <v>2.0379369807179692E-3</v>
      </c>
      <c r="L220" s="2">
        <f>IF(OR(report!V220="",report!V221=""),NA(),report!V220/report!V221-1)</f>
        <v>4.0610618328347226E-3</v>
      </c>
    </row>
    <row r="221" spans="1:12" x14ac:dyDescent="0.75">
      <c r="A221" s="1">
        <f>report!A221</f>
        <v>45443.041250000002</v>
      </c>
      <c r="B221" s="2">
        <f>IF(OR(report!B221="",report!B222=""),NA(),report!B221/report!B222-1)</f>
        <v>-1.1143785791673078E-2</v>
      </c>
      <c r="C221" s="2">
        <f>IF(OR(report!D221="",report!D222=""),NA(),report!D221/report!D222-1)</f>
        <v>9.0520922288642058E-2</v>
      </c>
      <c r="D221" s="2">
        <f>IF(OR(report!F221="",report!F222=""),NA(),report!F221/report!F222-1)</f>
        <v>0</v>
      </c>
      <c r="E221" s="2">
        <f>IF(OR(report!H221="",report!H222=""),NA(),report!H221/report!H222-1)</f>
        <v>0.11548675658676366</v>
      </c>
      <c r="F221" s="2">
        <f>IF(OR(report!J221="",report!J222=""),NA(),report!J221/report!J222-1)</f>
        <v>0.13194444444444442</v>
      </c>
      <c r="G221" s="2">
        <f>IF(OR(report!L221="",report!L222=""),NA(),report!L221/report!L222-1)</f>
        <v>-1.3451571347254276E-2</v>
      </c>
      <c r="H221" s="2">
        <f>IF(OR(report!N221="",report!N222=""),NA(),report!N221/report!N222-1)</f>
        <v>-2.836074872376626E-2</v>
      </c>
      <c r="I221" s="2">
        <f>IF(OR(report!P221="",report!P222=""),NA(),report!P221/report!P222-1)</f>
        <v>0.12448657187993706</v>
      </c>
      <c r="J221" s="2">
        <f>IF(OR(report!R221="",report!R222=""),NA(),report!R221/report!R222-1)</f>
        <v>0.1294216614090431</v>
      </c>
      <c r="K221" s="2">
        <f>IF(OR(report!T221="",report!T222=""),NA(),report!T221/report!T222-1)</f>
        <v>2.4574365563764911E-2</v>
      </c>
      <c r="L221" s="2">
        <f>IF(OR(report!V221="",report!V222=""),NA(),report!V221/report!V222-1)</f>
        <v>6.6147721691354189E-3</v>
      </c>
    </row>
    <row r="222" spans="1:12" x14ac:dyDescent="0.75">
      <c r="A222" s="1">
        <f>report!A222</f>
        <v>45471.041250000002</v>
      </c>
      <c r="B222" s="2">
        <f>IF(OR(report!B222="",report!B223=""),NA(),report!B222/report!B223-1)</f>
        <v>-8.5929108485499617E-3</v>
      </c>
      <c r="C222" s="2">
        <f>IF(OR(report!D222="",report!D223=""),NA(),report!D222/report!D223-1)</f>
        <v>-2.7408637873754027E-2</v>
      </c>
      <c r="D222" s="2">
        <f>IF(OR(report!F222="",report!F223=""),NA(),report!F222/report!F223-1)</f>
        <v>0</v>
      </c>
      <c r="E222" s="2">
        <f>IF(OR(report!H222="",report!H223=""),NA(),report!H222/report!H223-1)</f>
        <v>-3.7241379310344769E-2</v>
      </c>
      <c r="F222" s="2">
        <f>IF(OR(report!J222="",report!J223=""),NA(),report!J222/report!J223-1)</f>
        <v>2.1130291526394895E-2</v>
      </c>
      <c r="G222" s="2">
        <f>IF(OR(report!L222="",report!L223=""),NA(),report!L222/report!L223-1)</f>
        <v>-4.1714515388148743E-2</v>
      </c>
      <c r="H222" s="2">
        <f>IF(OR(report!N222="",report!N223=""),NA(),report!N222/report!N223-1)</f>
        <v>-2.5966850828729182E-2</v>
      </c>
      <c r="I222" s="2">
        <f>IF(OR(report!P222="",report!P223=""),NA(),report!P222/report!P223-1)</f>
        <v>-4.4960772480386324E-2</v>
      </c>
      <c r="J222" s="2">
        <f>IF(OR(report!R222="",report!R223=""),NA(),report!R222/report!R223-1)</f>
        <v>-0.12649717098978619</v>
      </c>
      <c r="K222" s="2">
        <f>IF(OR(report!T222="",report!T223=""),NA(),report!T222/report!T223-1)</f>
        <v>4.8418334409294772E-3</v>
      </c>
      <c r="L222" s="2">
        <f>IF(OR(report!V222="",report!V223=""),NA(),report!V222/report!V223-1)</f>
        <v>-1.0934726187298183E-2</v>
      </c>
    </row>
    <row r="223" spans="1:12" x14ac:dyDescent="0.75">
      <c r="A223" s="1">
        <f>report!A223</f>
        <v>45504.041250000002</v>
      </c>
      <c r="B223" s="2">
        <f>IF(OR(report!B223="",report!B224=""),NA(),report!B223/report!B224-1)</f>
        <v>-7.5209308925784035E-2</v>
      </c>
      <c r="C223" s="2">
        <f>IF(OR(report!D223="",report!D224=""),NA(),report!D223/report!D224-1)</f>
        <v>5.8479532163742132E-3</v>
      </c>
      <c r="D223" s="2">
        <f>IF(OR(report!F223="",report!F224=""),NA(),report!F223/report!F224-1)</f>
        <v>0</v>
      </c>
      <c r="E223" s="2">
        <f>IF(OR(report!H223="",report!H224=""),NA(),report!H223/report!H224-1)</f>
        <v>-0.14771912721851077</v>
      </c>
      <c r="F223" s="2">
        <f>IF(OR(report!J223="",report!J224=""),NA(),report!J223/report!J224-1)</f>
        <v>2.4961456574407181E-2</v>
      </c>
      <c r="G223" s="2">
        <f>IF(OR(report!L223="",report!L224=""),NA(),report!L223/report!L224-1)</f>
        <v>-3.6272583902830502E-2</v>
      </c>
      <c r="H223" s="2">
        <f>IF(OR(report!N223="",report!N224=""),NA(),report!N223/report!N224-1)</f>
        <v>-5.3512288652605933E-2</v>
      </c>
      <c r="I223" s="2">
        <f>IF(OR(report!P223="",report!P224=""),NA(),report!P223/report!P224-1)</f>
        <v>2.9512270891581371E-2</v>
      </c>
      <c r="J223" s="2">
        <f>IF(OR(report!R223="",report!R224=""),NA(),report!R223/report!R224-1)</f>
        <v>0.15164593382415159</v>
      </c>
      <c r="K223" s="2">
        <f>IF(OR(report!T223="",report!T224=""),NA(),report!T223/report!T224-1)</f>
        <v>-1.2904253624342887E-2</v>
      </c>
      <c r="L223" s="2">
        <f>IF(OR(report!V223="",report!V224=""),NA(),report!V223/report!V224-1)</f>
        <v>8.8526111164679566E-3</v>
      </c>
    </row>
    <row r="224" spans="1:12" x14ac:dyDescent="0.75">
      <c r="A224" s="1">
        <f>report!A224</f>
        <v>45534.041250000002</v>
      </c>
      <c r="B224" s="2">
        <f>IF(OR(report!B224="",report!B225=""),NA(),report!B224/report!B225-1)</f>
        <v>3.9994096812278501E-2</v>
      </c>
      <c r="C224" s="2">
        <f>IF(OR(report!D224="",report!D225=""),NA(),report!D224/report!D225-1)</f>
        <v>-7.4626865671642006E-3</v>
      </c>
      <c r="D224" s="2">
        <f>IF(OR(report!F224="",report!F225=""),NA(),report!F224/report!F225-1)</f>
        <v>0</v>
      </c>
      <c r="E224" s="2">
        <f>IF(OR(report!H224="",report!H225=""),NA(),report!H224/report!H225-1)</f>
        <v>2.0093594618309396E-2</v>
      </c>
      <c r="F224" s="2">
        <f>IF(OR(report!J224="",report!J225=""),NA(),report!J224/report!J225-1)</f>
        <v>-2.3584229390680944E-2</v>
      </c>
      <c r="G224" s="2">
        <f>IF(OR(report!L224="",report!L225=""),NA(),report!L224/report!L225-1)</f>
        <v>-1.148702239969368E-2</v>
      </c>
      <c r="H224" s="2">
        <f>IF(OR(report!N224="",report!N225=""),NA(),report!N224/report!N225-1)</f>
        <v>5.2081423069869626E-2</v>
      </c>
      <c r="I224" s="2">
        <f>IF(OR(report!P224="",report!P225=""),NA(),report!P224/report!P225-1)</f>
        <v>1.0992462311557816E-2</v>
      </c>
      <c r="J224" s="2">
        <f>IF(OR(report!R224="",report!R225=""),NA(),report!R224/report!R225-1)</f>
        <v>-9.5660824978954562E-2</v>
      </c>
      <c r="K224" s="2">
        <f>IF(OR(report!T224="",report!T225=""),NA(),report!T224/report!T225-1)</f>
        <v>6.0841642724353662E-2</v>
      </c>
      <c r="L224" s="2">
        <f>IF(OR(report!V224="",report!V225=""),NA(),report!V224/report!V225-1)</f>
        <v>1.3260184097748873E-2</v>
      </c>
    </row>
    <row r="225" spans="1:12" x14ac:dyDescent="0.75">
      <c r="A225" s="1">
        <f>report!A225</f>
        <v>45565.041250000002</v>
      </c>
      <c r="B225" s="2">
        <f>IF(OR(report!B225="",report!B226=""),NA(),report!B225/report!B226-1)</f>
        <v>9.009009009009028E-2</v>
      </c>
      <c r="C225" s="2">
        <f>IF(OR(report!D225="",report!D226=""),NA(),report!D225/report!D226-1)</f>
        <v>0.14421252371916515</v>
      </c>
      <c r="D225" s="2">
        <f>IF(OR(report!F225="",report!F226=""),NA(),report!F225/report!F226-1)</f>
        <v>1.3400893392892854E-2</v>
      </c>
      <c r="E225" s="2">
        <f>IF(OR(report!H225="",report!H226=""),NA(),report!H225/report!H226-1)</f>
        <v>-1.4583813696103287E-2</v>
      </c>
      <c r="F225" s="2">
        <f>IF(OR(report!J225="",report!J226=""),NA(),report!J225/report!J226-1)</f>
        <v>1.2201248833703104E-3</v>
      </c>
      <c r="G225" s="2">
        <f>IF(OR(report!L225="",report!L226=""),NA(),report!L225/report!L226-1)</f>
        <v>5.7834741349380936E-2</v>
      </c>
      <c r="H225" s="2">
        <f>IF(OR(report!N225="",report!N226=""),NA(),report!N225/report!N226-1)</f>
        <v>4.1841803591899041E-2</v>
      </c>
      <c r="I225" s="2">
        <f>IF(OR(report!P225="",report!P226=""),NA(),report!P225/report!P226-1)</f>
        <v>0.10824921684650191</v>
      </c>
      <c r="J225" s="2">
        <f>IF(OR(report!R225="",report!R226=""),NA(),report!R225/report!R226-1)</f>
        <v>-0.16852788648149919</v>
      </c>
      <c r="K225" s="2">
        <f>IF(OR(report!T225="",report!T226=""),NA(),report!T225/report!T226-1)</f>
        <v>7.5427117411850153E-2</v>
      </c>
      <c r="L225" s="2">
        <f>IF(OR(report!V225="",report!V226=""),NA(),report!V225/report!V226-1)</f>
        <v>1.8911075544585598E-2</v>
      </c>
    </row>
    <row r="226" spans="1:12" x14ac:dyDescent="0.75">
      <c r="A226" s="1">
        <f>report!A226</f>
        <v>45596.041250000002</v>
      </c>
      <c r="B226" s="2">
        <f>IF(OR(report!B226="",report!B227=""),NA(),report!B226/report!B227-1)</f>
        <v>3.9986615358875488E-2</v>
      </c>
      <c r="C226" s="2">
        <f>IF(OR(report!D226="",report!D227=""),NA(),report!D226/report!D227-1)</f>
        <v>-5.385996409335736E-2</v>
      </c>
      <c r="D226" s="2">
        <f>IF(OR(report!F226="",report!F227=""),NA(),report!F226/report!F227-1)</f>
        <v>-6.6666666666659324E-5</v>
      </c>
      <c r="E226" s="2">
        <f>IF(OR(report!H226="",report!H227=""),NA(),report!H226/report!H227-1)</f>
        <v>-7.553755562068698E-2</v>
      </c>
      <c r="F226" s="2">
        <f>IF(OR(report!J226="",report!J227=""),NA(),report!J226/report!J227-1)</f>
        <v>2.9557378260548273E-2</v>
      </c>
      <c r="G226" s="2">
        <f>IF(OR(report!L226="",report!L227=""),NA(),report!L226/report!L227-1)</f>
        <v>1.9712430426717109E-3</v>
      </c>
      <c r="H226" s="2">
        <f>IF(OR(report!N226="",report!N227=""),NA(),report!N226/report!N227-1)</f>
        <v>3.2958358002763033E-2</v>
      </c>
      <c r="I226" s="2">
        <f>IF(OR(report!P226="",report!P227=""),NA(),report!P226/report!P227-1)</f>
        <v>5.0841258229700204E-2</v>
      </c>
      <c r="J226" s="2">
        <f>IF(OR(report!R226="",report!R227=""),NA(),report!R226/report!R227-1)</f>
        <v>7.2291211790393106E-2</v>
      </c>
      <c r="K226" s="2">
        <f>IF(OR(report!T226="",report!T227=""),NA(),report!T226/report!T227-1)</f>
        <v>2.0779220779220786E-2</v>
      </c>
      <c r="L226" s="2">
        <f>IF(OR(report!V226="",report!V227=""),NA(),report!V226/report!V227-1)</f>
        <v>7.4814098246662741E-3</v>
      </c>
    </row>
    <row r="227" spans="1:12" x14ac:dyDescent="0.75">
      <c r="A227" s="1">
        <f>report!A227</f>
        <v>45625.041250000002</v>
      </c>
      <c r="B227" s="2">
        <f>IF(OR(report!B227="",report!B228=""),NA(),report!B227/report!B228-1)</f>
        <v>8.2005792903693031E-2</v>
      </c>
      <c r="C227" s="2">
        <f>IF(OR(report!D227="",report!D228=""),NA(),report!D227/report!D228-1)</f>
        <v>-4.6232876712328674E-2</v>
      </c>
      <c r="D227" s="2">
        <f>IF(OR(report!F227="",report!F228=""),NA(),report!F227/report!F228-1)</f>
        <v>0</v>
      </c>
      <c r="E227" s="2">
        <f>IF(OR(report!H227="",report!H228=""),NA(),report!H227/report!H228-1)</f>
        <v>2.3926447318164401E-2</v>
      </c>
      <c r="F227" s="2">
        <f>IF(OR(report!J227="",report!J228=""),NA(),report!J227/report!J228-1)</f>
        <v>1.015152646114803E-2</v>
      </c>
      <c r="G227" s="2">
        <f>IF(OR(report!L227="",report!L228=""),NA(),report!L227/report!L228-1)</f>
        <v>5.8484197606627708E-2</v>
      </c>
      <c r="H227" s="2">
        <f>IF(OR(report!N227="",report!N228=""),NA(),report!N227/report!N228-1)</f>
        <v>-7.4013157894736836E-2</v>
      </c>
      <c r="I227" s="2">
        <f>IF(OR(report!P227="",report!P228=""),NA(),report!P227/report!P228-1)</f>
        <v>-7.0068027210884343E-2</v>
      </c>
      <c r="J227" s="2">
        <f>IF(OR(report!R227="",report!R228=""),NA(),report!R227/report!R228-1)</f>
        <v>0.10112697220135236</v>
      </c>
      <c r="K227" s="2">
        <f>IF(OR(report!T227="",report!T228=""),NA(),report!T227/report!T228-1)</f>
        <v>-1.8036072144288595E-2</v>
      </c>
      <c r="L227" s="2">
        <f>IF(OR(report!V227="",report!V228=""),NA(),report!V227/report!V228-1)</f>
        <v>3.6805993913084922E-3</v>
      </c>
    </row>
    <row r="228" spans="1:12" x14ac:dyDescent="0.75">
      <c r="A228" s="1">
        <f>report!A228</f>
        <v>45657.041250000002</v>
      </c>
      <c r="B228" s="2">
        <f>IF(OR(report!B228="",report!B229=""),NA(),report!B228/report!B229-1)</f>
        <v>1.525454879617727E-2</v>
      </c>
      <c r="C228" s="2">
        <f>IF(OR(report!D228="",report!D229=""),NA(),report!D228/report!D229-1)</f>
        <v>-5.0406504065040769E-2</v>
      </c>
      <c r="D228" s="2">
        <f>IF(OR(report!F228="",report!F229=""),NA(),report!F228/report!F229-1)</f>
        <v>2.8101439342015144E-2</v>
      </c>
      <c r="E228" s="2">
        <f>IF(OR(report!H228="",report!H229=""),NA(),report!H228/report!H229-1)</f>
        <v>-4.2976501305483028E-2</v>
      </c>
      <c r="F228" s="2">
        <f>IF(OR(report!J228="",report!J229=""),NA(),report!J228/report!J229-1)</f>
        <v>-6.4455307262569761E-2</v>
      </c>
      <c r="G228" s="2">
        <f>IF(OR(report!L228="",report!L229=""),NA(),report!L228/report!L229-1)</f>
        <v>-9.2529167710856841E-2</v>
      </c>
      <c r="H228" s="2">
        <f>IF(OR(report!N228="",report!N229=""),NA(),report!N228/report!N229-1)</f>
        <v>-1.635808017256879E-2</v>
      </c>
      <c r="I228" s="2">
        <f>IF(OR(report!P228="",report!P229=""),NA(),report!P228/report!P229-1)</f>
        <v>-5.1000645577792159E-2</v>
      </c>
      <c r="J228" s="2">
        <f>IF(OR(report!R228="",report!R229=""),NA(),report!R228/report!R229-1)</f>
        <v>-9.1932457786116251E-2</v>
      </c>
      <c r="K228" s="2">
        <f>IF(OR(report!T228="",report!T229=""),NA(),report!T228/report!T229-1)</f>
        <v>2.1779597915115412E-2</v>
      </c>
      <c r="L228" s="2">
        <f>IF(OR(report!V228="",report!V229=""),NA(),report!V228/report!V229-1)</f>
        <v>9.069060451725397E-3</v>
      </c>
    </row>
    <row r="229" spans="1:12" x14ac:dyDescent="0.75">
      <c r="A229" s="1">
        <f>report!A229</f>
        <v>45688.041250000002</v>
      </c>
      <c r="B229" s="2">
        <f>IF(OR(report!B229="",report!B230=""),NA(),report!B229/report!B230-1)</f>
        <v>-1.3060039905677612E-2</v>
      </c>
      <c r="C229" s="2">
        <f>IF(OR(report!D229="",report!D230=""),NA(),report!D229/report!D230-1)</f>
        <v>-2.6128266033254133E-2</v>
      </c>
      <c r="D229" s="2">
        <f>IF(OR(report!F229="",report!F230=""),NA(),report!F229/report!F230-1)</f>
        <v>-1.41891891891891E-2</v>
      </c>
      <c r="E229" s="2">
        <f>IF(OR(report!H229="",report!H230=""),NA(),report!H229/report!H230-1)</f>
        <v>-1.1459838942804002E-2</v>
      </c>
      <c r="F229" s="2">
        <f>IF(OR(report!J229="",report!J230=""),NA(),report!J229/report!J230-1)</f>
        <v>-1.1322838994752948E-2</v>
      </c>
      <c r="G229" s="2">
        <f>IF(OR(report!L229="",report!L230=""),NA(),report!L229/report!L230-1)</f>
        <v>1.1890338395649458E-2</v>
      </c>
      <c r="H229" s="2">
        <f>IF(OR(report!N229="",report!N230=""),NA(),report!N229/report!N230-1)</f>
        <v>3.5169333829549787E-2</v>
      </c>
      <c r="I229" s="2">
        <f>IF(OR(report!P229="",report!P230=""),NA(),report!P229/report!P230-1)</f>
        <v>7.8074170461939207E-3</v>
      </c>
      <c r="J229" s="2">
        <f>IF(OR(report!R229="",report!R230=""),NA(),report!R229/report!R230-1)</f>
        <v>-6.7737319128637341E-2</v>
      </c>
      <c r="K229" s="2">
        <f>IF(OR(report!T229="",report!T230=""),NA(),report!T229/report!T230-1)</f>
        <v>-1.2136815005516777E-2</v>
      </c>
      <c r="L229" s="2">
        <f>IF(OR(report!V229="",report!V230=""),NA(),report!V229/report!V230-1)</f>
        <v>-4.6103427129945085E-2</v>
      </c>
    </row>
    <row r="230" spans="1:12" x14ac:dyDescent="0.75">
      <c r="A230" s="1">
        <f>report!A230</f>
        <v>45716.041250000002</v>
      </c>
      <c r="B230" s="2">
        <f>IF(OR(report!B230="",report!B231=""),NA(),report!B230/report!B231-1)</f>
        <v>-9.166067577282444E-3</v>
      </c>
      <c r="C230" s="2">
        <f>IF(OR(report!D230="",report!D231=""),NA(),report!D230/report!D231-1)</f>
        <v>9.3506493506493538E-2</v>
      </c>
      <c r="D230" s="2">
        <f>IF(OR(report!F230="",report!F231=""),NA(),report!F230/report!F231-1)</f>
        <v>-4.5161290322580649E-2</v>
      </c>
      <c r="E230" s="2">
        <f>IF(OR(report!H230="",report!H231=""),NA(),report!H230/report!H231-1)</f>
        <v>2.3890063424947261E-2</v>
      </c>
      <c r="F230" s="2">
        <f>IF(OR(report!J230="",report!J231=""),NA(),report!J230/report!J231-1)</f>
        <v>2.0503064891143508E-2</v>
      </c>
      <c r="G230" s="2">
        <f>IF(OR(report!L230="",report!L231=""),NA(),report!L230/report!L231-1)</f>
        <v>-3.9537778739986873E-2</v>
      </c>
      <c r="H230" s="2">
        <f>IF(OR(report!N230="",report!N231=""),NA(),report!N230/report!N231-1)</f>
        <v>-3.5707877265386601E-2</v>
      </c>
      <c r="I230" s="2">
        <f>IF(OR(report!P230="",report!P231=""),NA(),report!P230/report!P231-1)</f>
        <v>-8.3755588673621428E-2</v>
      </c>
      <c r="J230" s="2">
        <f>IF(OR(report!R230="",report!R231=""),NA(),report!R230/report!R231-1)</f>
        <v>-0.17184619436397153</v>
      </c>
      <c r="K230" s="2">
        <f>IF(OR(report!T230="",report!T231=""),NA(),report!T230/report!T231-1)</f>
        <v>-3.5131298793470545E-2</v>
      </c>
      <c r="L230" s="2">
        <f>IF(OR(report!V230="",report!V231=""),NA(),report!V230/report!V231-1)</f>
        <v>-3.7100657727463515E-3</v>
      </c>
    </row>
    <row r="231" spans="1:12" x14ac:dyDescent="0.75">
      <c r="A231" s="1">
        <f>report!A231</f>
        <v>45747.041250000002</v>
      </c>
      <c r="B231" s="2">
        <f>IF(OR(report!B231="",report!B232=""),NA(),report!B231/report!B232-1)</f>
        <v>-6.6912627871876573E-2</v>
      </c>
      <c r="C231" s="2">
        <f>IF(OR(report!D231="",report!D232=""),NA(),report!D231/report!D232-1)</f>
        <v>-4.5454545454545414E-2</v>
      </c>
      <c r="D231" s="2">
        <f>IF(OR(report!F231="",report!F232=""),NA(),report!F231/report!F232-1)</f>
        <v>-3.125E-2</v>
      </c>
      <c r="E231" s="2">
        <f>IF(OR(report!H231="",report!H232=""),NA(),report!H231/report!H232-1)</f>
        <v>-4.9628290134619335E-2</v>
      </c>
      <c r="F231" s="2">
        <f>IF(OR(report!J231="",report!J232=""),NA(),report!J231/report!J232-1)</f>
        <v>-0.15778542606218848</v>
      </c>
      <c r="G231" s="2">
        <f>IF(OR(report!L231="",report!L232=""),NA(),report!L231/report!L232-1)</f>
        <v>-1.3982281993809353E-2</v>
      </c>
      <c r="H231" s="2">
        <f>IF(OR(report!N231="",report!N232=""),NA(),report!N231/report!N232-1)</f>
        <v>-2.505817075353467E-3</v>
      </c>
      <c r="I231" s="2">
        <f>IF(OR(report!P231="",report!P232=""),NA(),report!P231/report!P232-1)</f>
        <v>-2.9505351460804241E-2</v>
      </c>
      <c r="J231" s="2">
        <f>IF(OR(report!R231="",report!R232=""),NA(),report!R231/report!R232-1)</f>
        <v>-2.9123731110486051E-2</v>
      </c>
      <c r="K231" s="2">
        <f>IF(OR(report!T231="",report!T232=""),NA(),report!T231/report!T232-1)</f>
        <v>-9.3161705551086049E-2</v>
      </c>
      <c r="L231" s="2">
        <f>IF(OR(report!V231="",report!V232=""),NA(),report!V231/report!V232-1)</f>
        <v>-4.0205041876306691E-3</v>
      </c>
    </row>
    <row r="232" spans="1:12" x14ac:dyDescent="0.75">
      <c r="A232" s="1">
        <f>report!A232</f>
        <v>45777.041250000002</v>
      </c>
      <c r="B232" s="2">
        <f>IF(OR(report!B232="",report!B233=""),NA(),report!B232/report!B233-1)</f>
        <v>9.9981553218963404E-2</v>
      </c>
      <c r="C232" s="2">
        <f>IF(OR(report!D232="",report!D233=""),NA(),report!D232/report!D233-1)</f>
        <v>-8.8855421686746983E-2</v>
      </c>
      <c r="D232" s="2">
        <f>IF(OR(report!F232="",report!F233=""),NA(),report!F232/report!F233-1)</f>
        <v>-6.2111801242236142E-3</v>
      </c>
      <c r="E232" s="2">
        <f>IF(OR(report!H232="",report!H233=""),NA(),report!H232/report!H233-1)</f>
        <v>-0.10714445889581548</v>
      </c>
      <c r="F232" s="2">
        <f>IF(OR(report!J232="",report!J233=""),NA(),report!J232/report!J233-1)</f>
        <v>-1.7146856409658184E-2</v>
      </c>
      <c r="G232" s="2">
        <f>IF(OR(report!L232="",report!L233=""),NA(),report!L232/report!L233-1)</f>
        <v>2.5307105140762287E-2</v>
      </c>
      <c r="H232" s="2">
        <f>IF(OR(report!N232="",report!N233=""),NA(),report!N232/report!N233-1)</f>
        <v>2.1949881104810665E-2</v>
      </c>
      <c r="I232" s="2">
        <f>IF(OR(report!P232="",report!P233=""),NA(),report!P232/report!P233-1)</f>
        <v>3.4833091436863306E-3</v>
      </c>
      <c r="J232" s="2">
        <f>IF(OR(report!R232="",report!R233=""),NA(),report!R232/report!R233-1)</f>
        <v>-4.5982338878860385E-2</v>
      </c>
      <c r="K232" s="2">
        <f>IF(OR(report!T232="",report!T233=""),NA(),report!T232/report!T233-1)</f>
        <v>-2.4332810047095865E-2</v>
      </c>
      <c r="L232" s="2">
        <f>IF(OR(report!V232="",report!V233=""),NA(),report!V232/report!V233-1)</f>
        <v>2.609057176089058E-3</v>
      </c>
    </row>
    <row r="233" spans="1:12" x14ac:dyDescent="0.75">
      <c r="A233" s="1">
        <f>report!A233</f>
        <v>45807.041250000002</v>
      </c>
      <c r="B233" s="2">
        <f>IF(OR(report!B233="",report!B234=""),NA(),report!B233/report!B234-1)</f>
        <v>3.5530085959885271E-2</v>
      </c>
      <c r="C233" s="2">
        <f>IF(OR(report!D233="",report!D234=""),NA(),report!D233/report!D234-1)</f>
        <v>2.5482625482625476E-2</v>
      </c>
      <c r="D233" s="2">
        <f>IF(OR(report!F233="",report!F234=""),NA(),report!F233/report!F234-1)</f>
        <v>2.4906600249066102E-3</v>
      </c>
      <c r="E233" s="2">
        <f>IF(OR(report!H233="",report!H234=""),NA(),report!H233/report!H234-1)</f>
        <v>3.5312144498873987E-2</v>
      </c>
      <c r="F233" s="2">
        <f>IF(OR(report!J233="",report!J234=""),NA(),report!J233/report!J234-1)</f>
        <v>-3.4981343283579935E-4</v>
      </c>
      <c r="G233" s="2">
        <f>IF(OR(report!L233="",report!L234=""),NA(),report!L233/report!L234-1)</f>
        <v>0.12891867683849645</v>
      </c>
      <c r="H233" s="2">
        <f>IF(OR(report!N233="",report!N234=""),NA(),report!N233/report!N234-1)</f>
        <v>-2.7224199288256257E-2</v>
      </c>
      <c r="I233" s="2">
        <f>IF(OR(report!P233="",report!P234=""),NA(),report!P233/report!P234-1)</f>
        <v>3.4954849985435743E-3</v>
      </c>
      <c r="J233" s="2">
        <f>IF(OR(report!R233="",report!R234=""),NA(),report!R233/report!R234-1)</f>
        <v>-0.21429803545759463</v>
      </c>
      <c r="K233" s="2">
        <f>IF(OR(report!T233="",report!T234=""),NA(),report!T233/report!T234-1)</f>
        <v>2.4939662107803739E-2</v>
      </c>
      <c r="L233" s="2">
        <f>IF(OR(report!V233="",report!V234=""),NA(),report!V233/report!V234-1)</f>
        <v>5.8034314106758522E-4</v>
      </c>
    </row>
    <row r="234" spans="1:12" x14ac:dyDescent="0.75">
      <c r="A234" s="1">
        <f>report!A234</f>
        <v>45838.041250000002</v>
      </c>
      <c r="B234" s="2">
        <f>IF(OR(report!B234="",report!B235=""),NA(),report!B234/report!B235-1)</f>
        <v>-4.3660942637924749E-2</v>
      </c>
      <c r="C234" s="2">
        <f>IF(OR(report!D234="",report!D235=""),NA(),report!D234/report!D235-1)</f>
        <v>-0.21372191863995138</v>
      </c>
      <c r="D234" s="2">
        <f>IF(OR(report!F234="",report!F235=""),NA(),report!F234/report!F235-1)</f>
        <v>0.11450381679389321</v>
      </c>
      <c r="E234" s="2">
        <f>IF(OR(report!H234="",report!H235=""),NA(),report!H234/report!H235-1)</f>
        <v>-6.1376589215256239E-3</v>
      </c>
      <c r="F234" s="2">
        <f>IF(OR(report!J234="",report!J235=""),NA(),report!J234/report!J235-1)</f>
        <v>2.0223649773970953E-2</v>
      </c>
      <c r="G234" s="2">
        <f>IF(OR(report!L234="",report!L235=""),NA(),report!L234/report!L235-1)</f>
        <v>-6.9623359097044091E-3</v>
      </c>
      <c r="H234" s="2">
        <f>IF(OR(report!N234="",report!N235=""),NA(),report!N234/report!N235-1)</f>
        <v>2.5547445255474477E-2</v>
      </c>
      <c r="I234" s="2">
        <f>IF(OR(report!P234="",report!P235=""),NA(),report!P234/report!P235-1)</f>
        <v>-2.3606370875995375E-2</v>
      </c>
      <c r="J234" s="2">
        <f>IF(OR(report!R234="",report!R235=""),NA(),report!R234/report!R235-1)</f>
        <v>4.9270990447461083E-2</v>
      </c>
      <c r="K234" s="2">
        <f>IF(OR(report!T234="",report!T235=""),NA(),report!T234/report!T235-1)</f>
        <v>0.1176047473475994</v>
      </c>
      <c r="L234" s="2">
        <f>IF(OR(report!V234="",report!V235=""),NA(),report!V234/report!V235-1)</f>
        <v>8.2673237033887848E-3</v>
      </c>
    </row>
    <row r="235" spans="1:12" x14ac:dyDescent="0.75">
      <c r="A235" s="1">
        <f>report!A235</f>
        <v>45869.041250000002</v>
      </c>
      <c r="B235" s="2">
        <f>IF(OR(report!B235="",report!B236=""),NA(),report!B235/report!B236-1)</f>
        <v>-5.70198105081825E-2</v>
      </c>
      <c r="C235" s="2">
        <f>IF(OR(report!D235="",report!D236=""),NA(),report!D235/report!D236-1)</f>
        <v>-2.486678507992901E-2</v>
      </c>
      <c r="D235" s="2">
        <f>IF(OR(report!F235="",report!F236=""),NA(),report!F235/report!F236-1)</f>
        <v>-6.2068965517241281E-3</v>
      </c>
      <c r="E235" s="2">
        <f>IF(OR(report!H235="",report!H236=""),NA(),report!H235/report!H236-1)</f>
        <v>-3.4465089337432642E-2</v>
      </c>
      <c r="F235" s="2">
        <f>IF(OR(report!J235="",report!J236=""),NA(),report!J235/report!J236-1)</f>
        <v>-1.5114235500878648E-2</v>
      </c>
      <c r="G235" s="2">
        <f>IF(OR(report!L235="",report!L236=""),NA(),report!L235/report!L236-1)</f>
        <v>1.611244429208103E-2</v>
      </c>
      <c r="H235" s="2">
        <f>IF(OR(report!N235="",report!N236=""),NA(),report!N235/report!N236-1)</f>
        <v>-0.20348837209302328</v>
      </c>
      <c r="I235" s="2">
        <f>IF(OR(report!P235="",report!P236=""),NA(),report!P235/report!P236-1)</f>
        <v>3.1383737517831634E-3</v>
      </c>
      <c r="J235" s="2">
        <f>IF(OR(report!R235="",report!R236=""),NA(),report!R235/report!R236-1)</f>
        <v>-0.18279976334472792</v>
      </c>
      <c r="K235" s="2">
        <f>IF(OR(report!T235="",report!T236=""),NA(),report!T235/report!T236-1)</f>
        <v>-1.9741564967695746E-3</v>
      </c>
      <c r="L235" s="2">
        <f>IF(OR(report!V235="",report!V236=""),NA(),report!V235/report!V236-1)</f>
        <v>8.6421921330430695E-3</v>
      </c>
    </row>
    <row r="236" spans="1:12" x14ac:dyDescent="0.75">
      <c r="A236" s="1">
        <f>report!A236</f>
        <v>45898.041250000002</v>
      </c>
      <c r="B236" s="2">
        <f>IF(OR(report!B236="",report!B237=""),NA(),report!B236/report!B237-1)</f>
        <v>-0.10747232472324741</v>
      </c>
      <c r="C236" s="2">
        <f>IF(OR(report!D236="",report!D237=""),NA(),report!D236/report!D237-1)</f>
        <v>2.9878048780487942E-2</v>
      </c>
      <c r="D236" s="2">
        <f>IF(OR(report!F236="",report!F237=""),NA(),report!F236/report!F237-1)</f>
        <v>-3.3333333333333326E-2</v>
      </c>
      <c r="E236" s="2">
        <f>IF(OR(report!H236="",report!H237=""),NA(),report!H236/report!H237-1)</f>
        <v>3.6867636867637055E-2</v>
      </c>
      <c r="F236" s="2">
        <f>IF(OR(report!J236="",report!J237=""),NA(),report!J236/report!J237-1)</f>
        <v>-7.4696444058976574E-2</v>
      </c>
      <c r="G236" s="2">
        <f>IF(OR(report!L236="",report!L237=""),NA(),report!L236/report!L237-1)</f>
        <v>-5.6209188775810381E-2</v>
      </c>
      <c r="H236" s="2">
        <f>IF(OR(report!N236="",report!N237=""),NA(),report!N236/report!N237-1)</f>
        <v>2.3352669939015192E-2</v>
      </c>
      <c r="I236" s="2">
        <f>IF(OR(report!P236="",report!P237=""),NA(),report!P236/report!P237-1)</f>
        <v>-9.5250387196696096E-2</v>
      </c>
      <c r="J236" s="2">
        <f>IF(OR(report!R236="",report!R237=""),NA(),report!R236/report!R237-1)</f>
        <v>-0.25659132559560172</v>
      </c>
      <c r="K236" s="2">
        <f>IF(OR(report!T236="",report!T237=""),NA(),report!T236/report!T237-1)</f>
        <v>-1.5025631960403074E-2</v>
      </c>
      <c r="L236" s="2">
        <f>IF(OR(report!V236="",report!V237=""),NA(),report!V236/report!V237-1)</f>
        <v>4.141248667285824E-3</v>
      </c>
    </row>
    <row r="237" spans="1:12" x14ac:dyDescent="0.75">
      <c r="A237" s="1">
        <f>report!A237</f>
        <v>45930.041250000002</v>
      </c>
      <c r="B237" s="2">
        <f>IF(OR(report!B237="",report!B238=""),NA(),report!B237/report!B238-1)</f>
        <v>1.3084112149532867E-2</v>
      </c>
      <c r="C237" s="2">
        <f>IF(OR(report!D237="",report!D238=""),NA(),report!D237/report!D238-1)</f>
        <v>-0.13135593220338981</v>
      </c>
      <c r="D237" s="2">
        <f>IF(OR(report!F237="",report!F238=""),NA(),report!F237/report!F238-1)</f>
        <v>-1.3157894736842146E-2</v>
      </c>
      <c r="E237" s="2">
        <f>IF(OR(report!H237="",report!H238=""),NA(),report!H237/report!H238-1)</f>
        <v>0.1178247734138973</v>
      </c>
      <c r="F237" s="2">
        <f>IF(OR(report!J237="",report!J238=""),NA(),report!J237/report!J238-1)</f>
        <v>5.5075779239347922E-2</v>
      </c>
      <c r="G237" s="2">
        <f>IF(OR(report!L237="",report!L238=""),NA(),report!L237/report!L238-1)</f>
        <v>7.8308858511211943E-2</v>
      </c>
      <c r="H237" s="2">
        <f>IF(OR(report!N237="",report!N238=""),NA(),report!N237/report!N238-1)</f>
        <v>-5.6553466180185197E-2</v>
      </c>
      <c r="I237" s="2">
        <f>IF(OR(report!P237="",report!P238=""),NA(),report!P237/report!P238-1)</f>
        <v>7.7308120133481761E-2</v>
      </c>
      <c r="J237" s="2">
        <f>IF(OR(report!R237="",report!R238=""),NA(),report!R237/report!R238-1)</f>
        <v>6.4244756790492685E-2</v>
      </c>
      <c r="K237" s="2">
        <f>IF(OR(report!T237="",report!T238=""),NA(),report!T237/report!T238-1)</f>
        <v>-7.8964506675350044E-2</v>
      </c>
      <c r="L237" s="2">
        <f>IF(OR(report!V237="",report!V238=""),NA(),report!V237/report!V238-1)</f>
        <v>8.6063851467803598E-3</v>
      </c>
    </row>
    <row r="238" spans="1:12" x14ac:dyDescent="0.75">
      <c r="A238" s="1">
        <f>report!A238</f>
        <v>45961.041250000002</v>
      </c>
      <c r="B238" s="2">
        <f>IF(OR(report!B238="",report!B239=""),NA(),report!B238/report!B239-1)</f>
        <v>0.1040412725709372</v>
      </c>
      <c r="C238" s="2">
        <f>IF(OR(report!D238="",report!D239=""),NA(),report!D238/report!D239-1)</f>
        <v>-2.5296850800206605E-2</v>
      </c>
      <c r="D238" s="2">
        <f>IF(OR(report!F238="",report!F239=""),NA(),report!F238/report!F239-1)</f>
        <v>2.3569023569023573E-2</v>
      </c>
      <c r="E238" s="2">
        <f>IF(OR(report!H238="",report!H239=""),NA(),report!H238/report!H239-1)</f>
        <v>-0.1322069599121608</v>
      </c>
      <c r="F238" s="2">
        <f>IF(OR(report!J238="",report!J239=""),NA(),report!J238/report!J239-1)</f>
        <v>-8.0004571689817894E-4</v>
      </c>
      <c r="G238" s="2">
        <f>IF(OR(report!L238="",report!L239=""),NA(),report!L238/report!L239-1)</f>
        <v>-2.5589516951509683E-2</v>
      </c>
      <c r="H238" s="2">
        <f>IF(OR(report!N238="",report!N239=""),NA(),report!N238/report!N239-1)</f>
        <v>-2.5837320574162659E-2</v>
      </c>
      <c r="I238" s="2">
        <f>IF(OR(report!P238="",report!P239=""),NA(),report!P238/report!P239-1)</f>
        <v>-7.7475628527449825E-2</v>
      </c>
      <c r="J238" s="2">
        <f>IF(OR(report!R238="",report!R239=""),NA(),report!R238/report!R239-1)</f>
        <v>-4.7749682962808793E-3</v>
      </c>
      <c r="K238" s="2">
        <f>IF(OR(report!T238="",report!T239=""),NA(),report!T238/report!T239-1)</f>
        <v>-9.1950314566865421E-3</v>
      </c>
      <c r="L238" s="2">
        <f>IF(OR(report!V238="",report!V239=""),NA(),report!V238/report!V239-1)</f>
        <v>-1.6883339915886308E-2</v>
      </c>
    </row>
    <row r="239" spans="1:12" x14ac:dyDescent="0.75">
      <c r="A239" s="1">
        <f>report!A239</f>
        <v>45989.041250000002</v>
      </c>
      <c r="B239" s="2">
        <f>IF(OR(report!B239="",report!B240=""),NA(),report!B239/report!B240-1)</f>
        <v>-1.6407307171853791E-2</v>
      </c>
      <c r="C239" s="2">
        <f>IF(OR(report!D239="",report!D240=""),NA(),report!D239/report!D240-1)</f>
        <v>-6.2893081761006275E-2</v>
      </c>
      <c r="D239" s="2">
        <f>IF(OR(report!F239="",report!F240=""),NA(),report!F239/report!F240-1)</f>
        <v>-1.3289036544850474E-2</v>
      </c>
      <c r="E239" s="2">
        <f>IF(OR(report!H239="",report!H240=""),NA(),report!H239/report!H240-1)</f>
        <v>-5.6631294127594822E-2</v>
      </c>
      <c r="F239" s="2">
        <f>IF(OR(report!J239="",report!J240=""),NA(),report!J239/report!J240-1)</f>
        <v>4.8220917694980381E-2</v>
      </c>
      <c r="G239" s="2">
        <f>IF(OR(report!L239="",report!L240=""),NA(),report!L239/report!L240-1)</f>
        <v>4.2966735430634229E-2</v>
      </c>
      <c r="H239" s="2">
        <f>IF(OR(report!N239="",report!N240=""),NA(),report!N239/report!N240-1)</f>
        <v>-0.12426673051598225</v>
      </c>
      <c r="I239" s="2">
        <f>IF(OR(report!P239="",report!P240=""),NA(),report!P239/report!P240-1)</f>
        <v>1.5104166666666696E-2</v>
      </c>
      <c r="J239" s="2">
        <f>IF(OR(report!R239="",report!R240=""),NA(),report!R239/report!R240-1)</f>
        <v>-0.18374632950968595</v>
      </c>
      <c r="K239" s="2">
        <f>IF(OR(report!T239="",report!T240=""),NA(),report!T239/report!T240-1)</f>
        <v>0.104400498841974</v>
      </c>
      <c r="L239" s="2">
        <f>IF(OR(report!V239="",report!V240=""),NA(),report!V239/report!V240-1)</f>
        <v>2.8294248489231233E-3</v>
      </c>
    </row>
    <row r="240" spans="1:12" x14ac:dyDescent="0.75">
      <c r="A240" s="1">
        <f>report!A240</f>
        <v>46022.041250000002</v>
      </c>
      <c r="B240" s="2">
        <f>IF(OR(report!B240="",report!B241=""),NA(),report!B240/report!B241-1)</f>
        <v>-2.602965403624391E-2</v>
      </c>
      <c r="C240" s="2">
        <f>IF(OR(report!D240="",report!D241=""),NA(),report!D240/report!D241-1)</f>
        <v>-4.6586715867158568E-2</v>
      </c>
      <c r="D240" s="2">
        <f>IF(OR(report!F240="",report!F241=""),NA(),report!F240/report!F241-1)</f>
        <v>-4.8973143759873605E-2</v>
      </c>
      <c r="E240" s="2">
        <f>IF(OR(report!H240="",report!H241=""),NA(),report!H240/report!H241-1)</f>
        <v>-1.4088616564544965E-2</v>
      </c>
      <c r="F240" s="2">
        <f>IF(OR(report!J240="",report!J241=""),NA(),report!J240/report!J241-1)</f>
        <v>-0.15503365895631926</v>
      </c>
      <c r="G240" s="2">
        <f>IF(OR(report!L240="",report!L241=""),NA(),report!L240/report!L241-1)</f>
        <v>-1.4140900568813675E-2</v>
      </c>
      <c r="H240" s="2">
        <f>IF(OR(report!N240="",report!N241=""),NA(),report!N240/report!N241-1)</f>
        <v>0.13061721710882512</v>
      </c>
      <c r="I240" s="2">
        <f>IF(OR(report!P240="",report!P241=""),NA(),report!P240/report!P241-1)</f>
        <v>-8.008266597778424E-3</v>
      </c>
      <c r="J240" s="2">
        <f>IF(OR(report!R240="",report!R241=""),NA(),report!R240/report!R241-1)</f>
        <v>-6.5225118483412281E-2</v>
      </c>
      <c r="K240" s="2">
        <f>IF(OR(report!T240="",report!T241=""),NA(),report!T240/report!T241-1)</f>
        <v>1.2080778939776549E-2</v>
      </c>
      <c r="L240" s="2">
        <f>IF(OR(report!V240="",report!V241=""),NA(),report!V240/report!V241-1)</f>
        <v>-6.1292474535676877E-3</v>
      </c>
    </row>
    <row r="241" spans="1:12" x14ac:dyDescent="0.75">
      <c r="A241" s="1">
        <f>report!A241</f>
        <v>46052.041250000002</v>
      </c>
      <c r="B241" s="2">
        <f>IF(OR(report!B241="",report!B242=""),NA(),report!B241/report!B242-1)</f>
        <v>-2.8489116517285473E-2</v>
      </c>
      <c r="C241" s="2">
        <f>IF(OR(report!D241="",report!D242=""),NA(),report!D241/report!D242-1)</f>
        <v>5.5658627087198376E-3</v>
      </c>
      <c r="D241" s="2">
        <f>IF(OR(report!F241="",report!F242=""),NA(),report!F241/report!F242-1)</f>
        <v>-4.7169811320755262E-3</v>
      </c>
      <c r="E241" s="2">
        <f>IF(OR(report!H241="",report!H242=""),NA(),report!H241/report!H242-1)</f>
        <v>6.7690253671562228E-2</v>
      </c>
      <c r="F241" s="2">
        <f>IF(OR(report!J241="",report!J242=""),NA(),report!J241/report!J242-1)</f>
        <v>6.0084525688681722E-3</v>
      </c>
      <c r="G241" s="2">
        <f>IF(OR(report!L241="",report!L242=""),NA(),report!L241/report!L242-1)</f>
        <v>1.9271879251149704E-2</v>
      </c>
      <c r="H241" s="2">
        <f>IF(OR(report!N241="",report!N242=""),NA(),report!N241/report!N242-1)</f>
        <v>-0.14540196645459813</v>
      </c>
      <c r="I241" s="2">
        <f>IF(OR(report!P241="",report!P242=""),NA(),report!P241/report!P242-1)</f>
        <v>-0.10455702058755489</v>
      </c>
      <c r="J241" s="2">
        <f>IF(OR(report!R241="",report!R242=""),NA(),report!R241/report!R242-1)</f>
        <v>-7.3918291211001907E-2</v>
      </c>
      <c r="K241" s="2">
        <f>IF(OR(report!T241="",report!T242=""),NA(),report!T241/report!T242-1)</f>
        <v>-5.0233225690706762E-3</v>
      </c>
      <c r="L241" s="2">
        <f>IF(OR(report!V241="",report!V242=""),NA(),report!V241/report!V242-1)</f>
        <v>1.0063423558399176E-2</v>
      </c>
    </row>
    <row r="242" spans="1:12" x14ac:dyDescent="0.75">
      <c r="A242" s="1">
        <f>report!A242</f>
        <v>46080.041250000002</v>
      </c>
      <c r="B242" s="2">
        <f>IF(OR(report!B242="",report!B243=""),NA(),report!B242/report!B243-1)</f>
        <v>3.9600665557404158E-2</v>
      </c>
      <c r="C242" s="2">
        <f>IF(OR(report!D242="",report!D243=""),NA(),report!D242/report!D243-1)</f>
        <v>4.9148418491484103E-2</v>
      </c>
      <c r="D242" s="2">
        <f>IF(OR(report!F242="",report!F243=""),NA(),report!F242/report!F243-1)</f>
        <v>-6.2499999999999778E-3</v>
      </c>
      <c r="E242" s="2">
        <f>IF(OR(report!H242="",report!H243=""),NA(),report!H242/report!H243-1)</f>
        <v>1.6397150288363749E-2</v>
      </c>
      <c r="F242" s="2">
        <f>IF(OR(report!J242="",report!J243=""),NA(),report!J242/report!J243-1)</f>
        <v>-1.2023342388570391E-2</v>
      </c>
      <c r="G242" s="2">
        <f>IF(OR(report!L242="",report!L243=""),NA(),report!L242/report!L243-1)</f>
        <v>-6.0581165373497559E-2</v>
      </c>
      <c r="H242" s="2">
        <f>IF(OR(report!N242="",report!N243=""),NA(),report!N242/report!N243-1)</f>
        <v>2.5260910815939397E-2</v>
      </c>
      <c r="I242" s="2">
        <f>IF(OR(report!P242="",report!P243=""),NA(),report!P242/report!P243-1)</f>
        <v>1.8854584020739917E-2</v>
      </c>
      <c r="J242" s="2">
        <f>IF(OR(report!R242="",report!R243=""),NA(),report!R242/report!R243-1)</f>
        <v>0.37286752614202689</v>
      </c>
      <c r="K242" s="2">
        <f>IF(OR(report!T242="",report!T243=""),NA(),report!T242/report!T243-1)</f>
        <v>-4.2268041237113363E-2</v>
      </c>
      <c r="L242" s="2">
        <f>IF(OR(report!V242="",report!V243=""),NA(),report!V242/report!V243-1)</f>
        <v>-4.1802024857151565E-3</v>
      </c>
    </row>
    <row r="243" spans="1:12" x14ac:dyDescent="0.75">
      <c r="A243" s="1">
        <f>report!A243</f>
        <v>46112.041250000002</v>
      </c>
      <c r="B243" s="2">
        <f>IF(OR(report!B243="",report!B244=""),NA(),report!B243/report!B244-1)</f>
        <v>1.0423671822461511E-2</v>
      </c>
      <c r="C243" s="2">
        <f>IF(OR(report!D243="",report!D244=""),NA(),report!D243/report!D244-1)</f>
        <v>-4.195804195804187E-2</v>
      </c>
      <c r="D243" s="2">
        <f>IF(OR(report!F243="",report!F244=""),NA(),report!F243/report!F244-1)</f>
        <v>-1.2345679012345734E-2</v>
      </c>
      <c r="E243" s="2">
        <f>IF(OR(report!H243="",report!H244=""),NA(),report!H243/report!H244-1)</f>
        <v>8.991122977567878E-3</v>
      </c>
      <c r="F243" s="2">
        <f>IF(OR(report!J243="",report!J244=""),NA(),report!J243/report!J244-1)</f>
        <v>4.7975537747785735E-2</v>
      </c>
      <c r="G243" s="2">
        <f>IF(OR(report!L243="",report!L244=""),NA(),report!L243/report!L244-1)</f>
        <v>8.4081013326296139E-2</v>
      </c>
      <c r="H243" s="2">
        <f>IF(OR(report!N243="",report!N244=""),NA(),report!N243/report!N244-1)</f>
        <v>0.26720769461977745</v>
      </c>
      <c r="I243" s="2">
        <f>IF(OR(report!P243="",report!P244=""),NA(),report!P243/report!P244-1)</f>
        <v>7.4177215189873413E-2</v>
      </c>
      <c r="J243" s="2">
        <f>IF(OR(report!R243="",report!R244=""),NA(),report!R243/report!R244-1)</f>
        <v>-9.5480867491767984E-2</v>
      </c>
      <c r="K243" s="2">
        <f>IF(OR(report!T243="",report!T244=""),NA(),report!T243/report!T244-1)</f>
        <v>5.6836753223170611E-2</v>
      </c>
      <c r="L243" s="2">
        <f>IF(OR(report!V243="",report!V244=""),NA(),report!V243/report!V244-1)</f>
        <v>2.6342144873758855E-3</v>
      </c>
    </row>
    <row r="244" spans="1:12" x14ac:dyDescent="0.75">
      <c r="A244" s="1">
        <f>report!A244</f>
        <v>46142.041250000002</v>
      </c>
      <c r="B244" s="2">
        <f>IF(OR(report!B244="",report!B245=""),NA(),report!B244/report!B245-1)</f>
        <v>-3.5181772491205132E-3</v>
      </c>
      <c r="C244" s="2">
        <f>IF(OR(report!D244="",report!D245=""),NA(),report!D244/report!D245-1)</f>
        <v>-6.0446780551905333E-2</v>
      </c>
      <c r="D244" s="2">
        <f>IF(OR(report!F244="",report!F245=""),NA(),report!F244/report!F245-1)</f>
        <v>-2.4096385542168641E-2</v>
      </c>
      <c r="E244" s="2">
        <f>IF(OR(report!H244="",report!H245=""),NA(),report!H244/report!H245-1)</f>
        <v>7.3202390282131713E-2</v>
      </c>
      <c r="F244" s="2">
        <f>IF(OR(report!J244="",report!J245=""),NA(),report!J244/report!J245-1)</f>
        <v>4.9173073731954231E-2</v>
      </c>
      <c r="G244" s="2">
        <f>IF(OR(report!L244="",report!L245=""),NA(),report!L244/report!L245-1)</f>
        <v>4.2646856513963494E-2</v>
      </c>
      <c r="H244" s="2">
        <f>IF(OR(report!N244="",report!N245=""),NA(),report!N244/report!N245-1)</f>
        <v>0.10568295114656046</v>
      </c>
      <c r="I244" s="2">
        <f>IF(OR(report!P244="",report!P245=""),NA(),report!P244/report!P245-1)</f>
        <v>2.8645833333333481E-2</v>
      </c>
      <c r="J244" s="2">
        <f>IF(OR(report!R244="",report!R245=""),NA(),report!R244/report!R245-1)</f>
        <v>-0.12656696286893054</v>
      </c>
      <c r="K244" s="2">
        <f>IF(OR(report!T244="",report!T245=""),NA(),report!T244/report!T245-1)</f>
        <v>5.0954198473282419E-2</v>
      </c>
      <c r="L244" s="2">
        <f>IF(OR(report!V244="",report!V245=""),NA(),report!V244/report!V245-1)</f>
        <v>1.5832253318737166E-4</v>
      </c>
    </row>
    <row r="245" spans="1:12" x14ac:dyDescent="0.75">
      <c r="A245" s="1">
        <f>report!A245</f>
        <v>46171.041250000002</v>
      </c>
      <c r="B245" s="2">
        <f>IF(OR(report!B245="",report!B246=""),NA(),report!B245/report!B246-1)</f>
        <v>4.4444444444444509E-2</v>
      </c>
      <c r="C245" s="2">
        <f>IF(OR(report!D245="",report!D246=""),NA(),report!D245/report!D246-1)</f>
        <v>8.7142857142856966E-2</v>
      </c>
      <c r="D245" s="2">
        <f>IF(OR(report!F245="",report!F246=""),NA(),report!F245/report!F246-1)</f>
        <v>0</v>
      </c>
      <c r="E245" s="2">
        <f>IF(OR(report!H245="",report!H246=""),NA(),report!H245/report!H246-1)</f>
        <v>-7.6742187853299004E-2</v>
      </c>
      <c r="F245" s="2">
        <f>IF(OR(report!J245="",report!J246=""),NA(),report!J245/report!J246-1)</f>
        <v>-2.0480034675190995E-2</v>
      </c>
      <c r="G245" s="2">
        <f>IF(OR(report!L245="",report!L246=""),NA(),report!L245/report!L246-1)</f>
        <v>3.4954082722289392E-2</v>
      </c>
      <c r="H245" s="2">
        <f>IF(OR(report!N245="",report!N246=""),NA(),report!N245/report!N246-1)</f>
        <v>5.4125065685759255E-2</v>
      </c>
      <c r="I245" s="2">
        <f>IF(OR(report!P245="",report!P246=""),NA(),report!P245/report!P246-1)</f>
        <v>-8.5205267234701454E-3</v>
      </c>
      <c r="J245" s="2">
        <f>IF(OR(report!R245="",report!R246=""),NA(),report!R245/report!R246-1)</f>
        <v>0.31930706023970279</v>
      </c>
      <c r="K245" s="2">
        <f>IF(OR(report!T245="",report!T246=""),NA(),report!T245/report!T246-1)</f>
        <v>2.0050613198364875E-2</v>
      </c>
      <c r="L245" s="2">
        <f>IF(OR(report!V245="",report!V246=""),NA(),report!V245/report!V246-1)</f>
        <v>-6.0173417184736788E-3</v>
      </c>
    </row>
    <row r="246" spans="1:12" x14ac:dyDescent="0.75">
      <c r="A246" s="1">
        <f>report!A246</f>
        <v>46203.041250000002</v>
      </c>
      <c r="B246" s="2">
        <f>IF(OR(report!B246="",report!B247=""),NA(),report!B246/report!B247-1)</f>
        <v>1.9284712482467992E-3</v>
      </c>
      <c r="C246" s="2">
        <f>IF(OR(report!D246="",report!D247=""),NA(),report!D246/report!D247-1)</f>
        <v>-1.9149929939280663E-2</v>
      </c>
      <c r="D246" s="2">
        <f>IF(OR(report!F246="",report!F247=""),NA(),report!F246/report!F247-1)</f>
        <v>-5.9880239520958556E-3</v>
      </c>
      <c r="E246" s="2">
        <f>IF(OR(report!H246="",report!H247=""),NA(),report!H246/report!H247-1)</f>
        <v>8.1466395112017587E-4</v>
      </c>
      <c r="F246" s="2">
        <f>IF(OR(report!J246="",report!J247=""),NA(),report!J246/report!J247-1)</f>
        <v>-2.0381083806591982E-2</v>
      </c>
      <c r="G246" s="2">
        <f>IF(OR(report!L246="",report!L247=""),NA(),report!L246/report!L247-1)</f>
        <v>-8.0853016982664894E-3</v>
      </c>
      <c r="H246" s="2">
        <f>IF(OR(report!N246="",report!N247=""),NA(),report!N246/report!N247-1)</f>
        <v>2.477113624124927E-2</v>
      </c>
      <c r="I246" s="2">
        <f>IF(OR(report!P246="",report!P247=""),NA(),report!P246/report!P247-1)</f>
        <v>-1.2241775057383442E-2</v>
      </c>
      <c r="J246" s="2">
        <f>IF(OR(report!R246="",report!R247=""),NA(),report!R246/report!R247-1)</f>
        <v>-2.209711470795217E-2</v>
      </c>
      <c r="K246" s="2">
        <f>IF(OR(report!T246="",report!T247=""),NA(),report!T246/report!T247-1)</f>
        <v>4.7085201793721776E-2</v>
      </c>
      <c r="L246" s="2">
        <f>IF(OR(report!V246="",report!V247=""),NA(),report!V246/report!V247-1)</f>
        <v>1.1874936088017041E-2</v>
      </c>
    </row>
    <row r="247" spans="1:12" x14ac:dyDescent="0.75">
      <c r="A247" s="1">
        <f>report!A247</f>
        <v>46209.041250000002</v>
      </c>
      <c r="B247" s="2" t="e">
        <f>IF(OR(report!B247="",report!#REF!=""),NA(),report!B247/report!#REF!-1)</f>
        <v>#REF!</v>
      </c>
      <c r="C247" s="2" t="e">
        <f>IF(OR(report!D247="",report!#REF!=""),NA(),report!D247/report!#REF!-1)</f>
        <v>#REF!</v>
      </c>
      <c r="D247" s="2" t="e">
        <f>IF(OR(report!F247="",report!#REF!=""),NA(),report!F247/report!#REF!-1)</f>
        <v>#REF!</v>
      </c>
      <c r="E247" s="2" t="e">
        <f>IF(OR(report!H247="",report!#REF!=""),NA(),report!H247/report!#REF!-1)</f>
        <v>#REF!</v>
      </c>
      <c r="F247" s="2" t="e">
        <f>IF(OR(report!J247="",report!#REF!=""),NA(),report!J247/report!#REF!-1)</f>
        <v>#REF!</v>
      </c>
      <c r="G247" s="2" t="e">
        <f>IF(OR(report!L247="",report!#REF!=""),NA(),report!L247/report!#REF!-1)</f>
        <v>#REF!</v>
      </c>
      <c r="H247" s="2" t="e">
        <f>IF(OR(report!N247="",report!#REF!=""),NA(),report!N247/report!#REF!-1)</f>
        <v>#REF!</v>
      </c>
      <c r="I247" s="2" t="e">
        <f>IF(OR(report!P247="",report!#REF!=""),NA(),report!P247/report!#REF!-1)</f>
        <v>#REF!</v>
      </c>
      <c r="J247" s="2" t="e">
        <f>IF(OR(report!R247="",report!#REF!=""),NA(),report!R247/report!#REF!-1)</f>
        <v>#REF!</v>
      </c>
      <c r="K247" s="2" t="e">
        <f>IF(OR(report!T247="",report!#REF!=""),NA(),report!T247/report!#REF!-1)</f>
        <v>#REF!</v>
      </c>
      <c r="L247" s="2" t="e">
        <f>IF(OR(report!V247="",report!#REF!=""),NA(),report!V247/report!#REF!-1)</f>
        <v>#REF!</v>
      </c>
    </row>
    <row r="248" spans="1:12" x14ac:dyDescent="0.75">
      <c r="A248" s="1" t="e">
        <f>report!#REF!</f>
        <v>#REF!</v>
      </c>
      <c r="B248" s="2" t="e">
        <f>IF(OR(report!#REF!="",report!#REF!=""),NA(),report!#REF!/report!#REF!-1)</f>
        <v>#REF!</v>
      </c>
      <c r="C248" s="2" t="e">
        <f>IF(OR(report!#REF!="",report!#REF!=""),NA(),report!#REF!/report!#REF!-1)</f>
        <v>#REF!</v>
      </c>
      <c r="D248" s="2" t="e">
        <f>IF(OR(report!#REF!="",report!#REF!=""),NA(),report!#REF!/report!#REF!-1)</f>
        <v>#REF!</v>
      </c>
      <c r="E248" s="2" t="e">
        <f>IF(OR(report!#REF!="",report!#REF!=""),NA(),report!#REF!/report!#REF!-1)</f>
        <v>#REF!</v>
      </c>
      <c r="F248" s="2" t="e">
        <f>IF(OR(report!#REF!="",report!#REF!=""),NA(),report!#REF!/report!#REF!-1)</f>
        <v>#REF!</v>
      </c>
      <c r="G248" s="2" t="e">
        <f>IF(OR(report!#REF!="",report!#REF!=""),NA(),report!#REF!/report!#REF!-1)</f>
        <v>#REF!</v>
      </c>
      <c r="H248" s="2" t="e">
        <f>IF(OR(report!#REF!="",report!#REF!=""),NA(),report!#REF!/report!#REF!-1)</f>
        <v>#REF!</v>
      </c>
      <c r="I248" s="2" t="e">
        <f>IF(OR(report!#REF!="",report!#REF!=""),NA(),report!#REF!/report!#REF!-1)</f>
        <v>#REF!</v>
      </c>
      <c r="J248" s="2" t="e">
        <f>IF(OR(report!#REF!="",report!#REF!=""),NA(),report!#REF!/report!#REF!-1)</f>
        <v>#REF!</v>
      </c>
      <c r="K248" s="2" t="e">
        <f>IF(OR(report!#REF!="",report!#REF!=""),NA(),report!#REF!/report!#REF!-1)</f>
        <v>#REF!</v>
      </c>
      <c r="L248" s="2" t="e">
        <f>IF(OR(report!#REF!="",report!#REF!=""),NA(),report!#REF!/report!#REF!-1)</f>
        <v>#REF!</v>
      </c>
    </row>
    <row r="249" spans="1:12" x14ac:dyDescent="0.75">
      <c r="A249" s="1" t="e">
        <f>report!#REF!</f>
        <v>#REF!</v>
      </c>
      <c r="B249" s="2" t="e">
        <f>IF(OR(report!#REF!="",report!#REF!=""),NA(),report!#REF!/report!#REF!-1)</f>
        <v>#REF!</v>
      </c>
      <c r="C249" s="2" t="e">
        <f>IF(OR(report!#REF!="",report!#REF!=""),NA(),report!#REF!/report!#REF!-1)</f>
        <v>#REF!</v>
      </c>
      <c r="D249" s="2" t="e">
        <f>IF(OR(report!#REF!="",report!#REF!=""),NA(),report!#REF!/report!#REF!-1)</f>
        <v>#REF!</v>
      </c>
      <c r="E249" s="2" t="e">
        <f>IF(OR(report!#REF!="",report!#REF!=""),NA(),report!#REF!/report!#REF!-1)</f>
        <v>#REF!</v>
      </c>
      <c r="F249" s="2" t="e">
        <f>IF(OR(report!#REF!="",report!#REF!=""),NA(),report!#REF!/report!#REF!-1)</f>
        <v>#REF!</v>
      </c>
      <c r="G249" s="2" t="e">
        <f>IF(OR(report!#REF!="",report!#REF!=""),NA(),report!#REF!/report!#REF!-1)</f>
        <v>#REF!</v>
      </c>
      <c r="H249" s="2" t="e">
        <f>IF(OR(report!#REF!="",report!#REF!=""),NA(),report!#REF!/report!#REF!-1)</f>
        <v>#REF!</v>
      </c>
      <c r="I249" s="2" t="e">
        <f>IF(OR(report!#REF!="",report!#REF!=""),NA(),report!#REF!/report!#REF!-1)</f>
        <v>#REF!</v>
      </c>
      <c r="J249" s="2" t="e">
        <f>IF(OR(report!#REF!="",report!#REF!=""),NA(),report!#REF!/report!#REF!-1)</f>
        <v>#REF!</v>
      </c>
      <c r="K249" s="2" t="e">
        <f>IF(OR(report!#REF!="",report!#REF!=""),NA(),report!#REF!/report!#REF!-1)</f>
        <v>#REF!</v>
      </c>
      <c r="L249" s="2" t="e">
        <f>IF(OR(report!#REF!="",report!#REF!=""),NA(),report!#REF!/report!#REF!-1)</f>
        <v>#REF!</v>
      </c>
    </row>
    <row r="250" spans="1:12" x14ac:dyDescent="0.75">
      <c r="A250" s="1" t="e">
        <f>report!#REF!</f>
        <v>#REF!</v>
      </c>
      <c r="B250" s="2" t="e">
        <f>IF(OR(report!#REF!="",report!#REF!=""),NA(),report!#REF!/report!#REF!-1)</f>
        <v>#REF!</v>
      </c>
      <c r="C250" s="2" t="e">
        <f>IF(OR(report!#REF!="",report!#REF!=""),NA(),report!#REF!/report!#REF!-1)</f>
        <v>#REF!</v>
      </c>
      <c r="D250" s="2" t="e">
        <f>IF(OR(report!#REF!="",report!#REF!=""),NA(),report!#REF!/report!#REF!-1)</f>
        <v>#REF!</v>
      </c>
      <c r="E250" s="2" t="e">
        <f>IF(OR(report!#REF!="",report!#REF!=""),NA(),report!#REF!/report!#REF!-1)</f>
        <v>#REF!</v>
      </c>
      <c r="F250" s="2" t="e">
        <f>IF(OR(report!#REF!="",report!#REF!=""),NA(),report!#REF!/report!#REF!-1)</f>
        <v>#REF!</v>
      </c>
      <c r="G250" s="2" t="e">
        <f>IF(OR(report!#REF!="",report!#REF!=""),NA(),report!#REF!/report!#REF!-1)</f>
        <v>#REF!</v>
      </c>
      <c r="H250" s="2" t="e">
        <f>IF(OR(report!#REF!="",report!#REF!=""),NA(),report!#REF!/report!#REF!-1)</f>
        <v>#REF!</v>
      </c>
      <c r="I250" s="2" t="e">
        <f>IF(OR(report!#REF!="",report!#REF!=""),NA(),report!#REF!/report!#REF!-1)</f>
        <v>#REF!</v>
      </c>
      <c r="J250" s="2" t="e">
        <f>IF(OR(report!#REF!="",report!#REF!=""),NA(),report!#REF!/report!#REF!-1)</f>
        <v>#REF!</v>
      </c>
      <c r="K250" s="2" t="e">
        <f>IF(OR(report!#REF!="",report!#REF!=""),NA(),report!#REF!/report!#REF!-1)</f>
        <v>#REF!</v>
      </c>
      <c r="L250" s="2" t="e">
        <f>IF(OR(report!#REF!="",report!#REF!=""),NA(),report!#REF!/report!#REF!-1)</f>
        <v>#REF!</v>
      </c>
    </row>
    <row r="251" spans="1:12" x14ac:dyDescent="0.75">
      <c r="A251" s="1" t="e">
        <f>report!#REF!</f>
        <v>#REF!</v>
      </c>
      <c r="B251" s="2" t="e">
        <f>IF(OR(report!#REF!="",report!#REF!=""),NA(),report!#REF!/report!#REF!-1)</f>
        <v>#REF!</v>
      </c>
      <c r="C251" s="2" t="e">
        <f>IF(OR(report!#REF!="",report!#REF!=""),NA(),report!#REF!/report!#REF!-1)</f>
        <v>#REF!</v>
      </c>
      <c r="D251" s="2" t="e">
        <f>IF(OR(report!#REF!="",report!#REF!=""),NA(),report!#REF!/report!#REF!-1)</f>
        <v>#REF!</v>
      </c>
      <c r="E251" s="2" t="e">
        <f>IF(OR(report!#REF!="",report!#REF!=""),NA(),report!#REF!/report!#REF!-1)</f>
        <v>#REF!</v>
      </c>
      <c r="F251" s="2" t="e">
        <f>IF(OR(report!#REF!="",report!#REF!=""),NA(),report!#REF!/report!#REF!-1)</f>
        <v>#REF!</v>
      </c>
      <c r="G251" s="2" t="e">
        <f>IF(OR(report!#REF!="",report!#REF!=""),NA(),report!#REF!/report!#REF!-1)</f>
        <v>#REF!</v>
      </c>
      <c r="H251" s="2" t="e">
        <f>IF(OR(report!#REF!="",report!#REF!=""),NA(),report!#REF!/report!#REF!-1)</f>
        <v>#REF!</v>
      </c>
      <c r="I251" s="2" t="e">
        <f>IF(OR(report!#REF!="",report!#REF!=""),NA(),report!#REF!/report!#REF!-1)</f>
        <v>#REF!</v>
      </c>
      <c r="J251" s="2" t="e">
        <f>IF(OR(report!#REF!="",report!#REF!=""),NA(),report!#REF!/report!#REF!-1)</f>
        <v>#REF!</v>
      </c>
      <c r="K251" s="2" t="e">
        <f>IF(OR(report!#REF!="",report!#REF!=""),NA(),report!#REF!/report!#REF!-1)</f>
        <v>#REF!</v>
      </c>
      <c r="L251" s="2" t="e">
        <f>IF(OR(report!#REF!="",report!#REF!=""),NA(),report!#REF!/report!#REF!-1)</f>
        <v>#REF!</v>
      </c>
    </row>
    <row r="252" spans="1:12" x14ac:dyDescent="0.75">
      <c r="A252" s="1" t="e">
        <f>report!#REF!</f>
        <v>#REF!</v>
      </c>
      <c r="B252" s="2" t="e">
        <f>IF(OR(report!#REF!="",report!#REF!=""),NA(),report!#REF!/report!#REF!-1)</f>
        <v>#REF!</v>
      </c>
      <c r="C252" s="2" t="e">
        <f>IF(OR(report!#REF!="",report!#REF!=""),NA(),report!#REF!/report!#REF!-1)</f>
        <v>#REF!</v>
      </c>
      <c r="D252" s="2" t="e">
        <f>IF(OR(report!#REF!="",report!#REF!=""),NA(),report!#REF!/report!#REF!-1)</f>
        <v>#REF!</v>
      </c>
      <c r="E252" s="2" t="e">
        <f>IF(OR(report!#REF!="",report!#REF!=""),NA(),report!#REF!/report!#REF!-1)</f>
        <v>#REF!</v>
      </c>
      <c r="F252" s="2" t="e">
        <f>IF(OR(report!#REF!="",report!#REF!=""),NA(),report!#REF!/report!#REF!-1)</f>
        <v>#REF!</v>
      </c>
      <c r="G252" s="2" t="e">
        <f>IF(OR(report!#REF!="",report!#REF!=""),NA(),report!#REF!/report!#REF!-1)</f>
        <v>#REF!</v>
      </c>
      <c r="H252" s="2" t="e">
        <f>IF(OR(report!#REF!="",report!#REF!=""),NA(),report!#REF!/report!#REF!-1)</f>
        <v>#REF!</v>
      </c>
      <c r="I252" s="2" t="e">
        <f>IF(OR(report!#REF!="",report!#REF!=""),NA(),report!#REF!/report!#REF!-1)</f>
        <v>#REF!</v>
      </c>
      <c r="J252" s="2" t="e">
        <f>IF(OR(report!#REF!="",report!#REF!=""),NA(),report!#REF!/report!#REF!-1)</f>
        <v>#REF!</v>
      </c>
      <c r="K252" s="2" t="e">
        <f>IF(OR(report!#REF!="",report!#REF!=""),NA(),report!#REF!/report!#REF!-1)</f>
        <v>#REF!</v>
      </c>
      <c r="L252" s="2" t="e">
        <f>IF(OR(report!#REF!="",report!#REF!=""),NA(),report!#REF!/report!#REF!-1)</f>
        <v>#REF!</v>
      </c>
    </row>
    <row r="253" spans="1:12" x14ac:dyDescent="0.75">
      <c r="A253" s="1" t="e">
        <f>report!#REF!</f>
        <v>#REF!</v>
      </c>
      <c r="B253" s="2" t="e">
        <f>IF(OR(report!#REF!="",report!#REF!=""),NA(),report!#REF!/report!#REF!-1)</f>
        <v>#REF!</v>
      </c>
      <c r="C253" s="2" t="e">
        <f>IF(OR(report!#REF!="",report!#REF!=""),NA(),report!#REF!/report!#REF!-1)</f>
        <v>#REF!</v>
      </c>
      <c r="D253" s="2" t="e">
        <f>IF(OR(report!#REF!="",report!#REF!=""),NA(),report!#REF!/report!#REF!-1)</f>
        <v>#REF!</v>
      </c>
      <c r="E253" s="2" t="e">
        <f>IF(OR(report!#REF!="",report!#REF!=""),NA(),report!#REF!/report!#REF!-1)</f>
        <v>#REF!</v>
      </c>
      <c r="F253" s="2" t="e">
        <f>IF(OR(report!#REF!="",report!#REF!=""),NA(),report!#REF!/report!#REF!-1)</f>
        <v>#REF!</v>
      </c>
      <c r="G253" s="2" t="e">
        <f>IF(OR(report!#REF!="",report!#REF!=""),NA(),report!#REF!/report!#REF!-1)</f>
        <v>#REF!</v>
      </c>
      <c r="H253" s="2" t="e">
        <f>IF(OR(report!#REF!="",report!#REF!=""),NA(),report!#REF!/report!#REF!-1)</f>
        <v>#REF!</v>
      </c>
      <c r="I253" s="2" t="e">
        <f>IF(OR(report!#REF!="",report!#REF!=""),NA(),report!#REF!/report!#REF!-1)</f>
        <v>#REF!</v>
      </c>
      <c r="J253" s="2" t="e">
        <f>IF(OR(report!#REF!="",report!#REF!=""),NA(),report!#REF!/report!#REF!-1)</f>
        <v>#REF!</v>
      </c>
      <c r="K253" s="2" t="e">
        <f>IF(OR(report!#REF!="",report!#REF!=""),NA(),report!#REF!/report!#REF!-1)</f>
        <v>#REF!</v>
      </c>
      <c r="L253" s="2" t="e">
        <f>IF(OR(report!#REF!="",report!#REF!=""),NA(),report!#REF!/report!#REF!-1)</f>
        <v>#REF!</v>
      </c>
    </row>
    <row r="254" spans="1:12" x14ac:dyDescent="0.75">
      <c r="A254" s="1" t="e">
        <f>report!#REF!</f>
        <v>#REF!</v>
      </c>
      <c r="B254" s="2" t="e">
        <f>IF(OR(report!#REF!="",report!#REF!=""),NA(),report!#REF!/report!#REF!-1)</f>
        <v>#REF!</v>
      </c>
      <c r="C254" s="2" t="e">
        <f>IF(OR(report!#REF!="",report!#REF!=""),NA(),report!#REF!/report!#REF!-1)</f>
        <v>#REF!</v>
      </c>
      <c r="D254" s="2" t="e">
        <f>IF(OR(report!#REF!="",report!#REF!=""),NA(),report!#REF!/report!#REF!-1)</f>
        <v>#REF!</v>
      </c>
      <c r="E254" s="2" t="e">
        <f>IF(OR(report!#REF!="",report!#REF!=""),NA(),report!#REF!/report!#REF!-1)</f>
        <v>#REF!</v>
      </c>
      <c r="F254" s="2" t="e">
        <f>IF(OR(report!#REF!="",report!#REF!=""),NA(),report!#REF!/report!#REF!-1)</f>
        <v>#REF!</v>
      </c>
      <c r="G254" s="2" t="e">
        <f>IF(OR(report!#REF!="",report!#REF!=""),NA(),report!#REF!/report!#REF!-1)</f>
        <v>#REF!</v>
      </c>
      <c r="H254" s="2" t="e">
        <f>IF(OR(report!#REF!="",report!#REF!=""),NA(),report!#REF!/report!#REF!-1)</f>
        <v>#REF!</v>
      </c>
      <c r="I254" s="2" t="e">
        <f>IF(OR(report!#REF!="",report!#REF!=""),NA(),report!#REF!/report!#REF!-1)</f>
        <v>#REF!</v>
      </c>
      <c r="J254" s="2" t="e">
        <f>IF(OR(report!#REF!="",report!#REF!=""),NA(),report!#REF!/report!#REF!-1)</f>
        <v>#REF!</v>
      </c>
      <c r="K254" s="2" t="e">
        <f>IF(OR(report!#REF!="",report!#REF!=""),NA(),report!#REF!/report!#REF!-1)</f>
        <v>#REF!</v>
      </c>
      <c r="L254" s="2" t="e">
        <f>IF(OR(report!#REF!="",report!#REF!=""),NA(),report!#REF!/report!#REF!-1)</f>
        <v>#REF!</v>
      </c>
    </row>
    <row r="255" spans="1:12" x14ac:dyDescent="0.75">
      <c r="A255" s="1" t="e">
        <f>report!#REF!</f>
        <v>#REF!</v>
      </c>
      <c r="B255" s="2" t="e">
        <f>IF(OR(report!#REF!="",report!#REF!=""),NA(),report!#REF!/report!#REF!-1)</f>
        <v>#REF!</v>
      </c>
      <c r="C255" s="2" t="e">
        <f>IF(OR(report!#REF!="",report!#REF!=""),NA(),report!#REF!/report!#REF!-1)</f>
        <v>#REF!</v>
      </c>
      <c r="D255" s="2" t="e">
        <f>IF(OR(report!#REF!="",report!#REF!=""),NA(),report!#REF!/report!#REF!-1)</f>
        <v>#REF!</v>
      </c>
      <c r="E255" s="2" t="e">
        <f>IF(OR(report!#REF!="",report!#REF!=""),NA(),report!#REF!/report!#REF!-1)</f>
        <v>#REF!</v>
      </c>
      <c r="F255" s="2" t="e">
        <f>IF(OR(report!#REF!="",report!#REF!=""),NA(),report!#REF!/report!#REF!-1)</f>
        <v>#REF!</v>
      </c>
      <c r="G255" s="2" t="e">
        <f>IF(OR(report!#REF!="",report!#REF!=""),NA(),report!#REF!/report!#REF!-1)</f>
        <v>#REF!</v>
      </c>
      <c r="H255" s="2" t="e">
        <f>IF(OR(report!#REF!="",report!#REF!=""),NA(),report!#REF!/report!#REF!-1)</f>
        <v>#REF!</v>
      </c>
      <c r="I255" s="2" t="e">
        <f>IF(OR(report!#REF!="",report!#REF!=""),NA(),report!#REF!/report!#REF!-1)</f>
        <v>#REF!</v>
      </c>
      <c r="J255" s="2" t="e">
        <f>IF(OR(report!#REF!="",report!#REF!=""),NA(),report!#REF!/report!#REF!-1)</f>
        <v>#REF!</v>
      </c>
      <c r="K255" s="2" t="e">
        <f>IF(OR(report!#REF!="",report!#REF!=""),NA(),report!#REF!/report!#REF!-1)</f>
        <v>#REF!</v>
      </c>
      <c r="L255" s="2" t="e">
        <f>IF(OR(report!#REF!="",report!#REF!=""),NA(),report!#REF!/report!#REF!-1)</f>
        <v>#REF!</v>
      </c>
    </row>
    <row r="256" spans="1:12" x14ac:dyDescent="0.75">
      <c r="A256" s="1" t="e">
        <f>report!#REF!</f>
        <v>#REF!</v>
      </c>
      <c r="B256" s="2" t="e">
        <f>IF(OR(report!#REF!="",report!#REF!=""),NA(),report!#REF!/report!#REF!-1)</f>
        <v>#REF!</v>
      </c>
      <c r="C256" s="2" t="e">
        <f>IF(OR(report!#REF!="",report!#REF!=""),NA(),report!#REF!/report!#REF!-1)</f>
        <v>#REF!</v>
      </c>
      <c r="D256" s="2" t="e">
        <f>IF(OR(report!#REF!="",report!#REF!=""),NA(),report!#REF!/report!#REF!-1)</f>
        <v>#REF!</v>
      </c>
      <c r="E256" s="2" t="e">
        <f>IF(OR(report!#REF!="",report!#REF!=""),NA(),report!#REF!/report!#REF!-1)</f>
        <v>#REF!</v>
      </c>
      <c r="F256" s="2" t="e">
        <f>IF(OR(report!#REF!="",report!#REF!=""),NA(),report!#REF!/report!#REF!-1)</f>
        <v>#REF!</v>
      </c>
      <c r="G256" s="2" t="e">
        <f>IF(OR(report!#REF!="",report!#REF!=""),NA(),report!#REF!/report!#REF!-1)</f>
        <v>#REF!</v>
      </c>
      <c r="H256" s="2" t="e">
        <f>IF(OR(report!#REF!="",report!#REF!=""),NA(),report!#REF!/report!#REF!-1)</f>
        <v>#REF!</v>
      </c>
      <c r="I256" s="2" t="e">
        <f>IF(OR(report!#REF!="",report!#REF!=""),NA(),report!#REF!/report!#REF!-1)</f>
        <v>#REF!</v>
      </c>
      <c r="J256" s="2" t="e">
        <f>IF(OR(report!#REF!="",report!#REF!=""),NA(),report!#REF!/report!#REF!-1)</f>
        <v>#REF!</v>
      </c>
      <c r="K256" s="2" t="e">
        <f>IF(OR(report!#REF!="",report!#REF!=""),NA(),report!#REF!/report!#REF!-1)</f>
        <v>#REF!</v>
      </c>
      <c r="L256" s="2" t="e">
        <f>IF(OR(report!#REF!="",report!#REF!=""),NA(),report!#REF!/report!#REF!-1)</f>
        <v>#REF!</v>
      </c>
    </row>
    <row r="257" spans="1:12" x14ac:dyDescent="0.75">
      <c r="A257" s="1" t="e">
        <f>report!#REF!</f>
        <v>#REF!</v>
      </c>
      <c r="B257" s="2" t="e">
        <f>IF(OR(report!#REF!="",report!#REF!=""),NA(),report!#REF!/report!#REF!-1)</f>
        <v>#REF!</v>
      </c>
      <c r="C257" s="2" t="e">
        <f>IF(OR(report!#REF!="",report!#REF!=""),NA(),report!#REF!/report!#REF!-1)</f>
        <v>#REF!</v>
      </c>
      <c r="D257" s="2" t="e">
        <f>IF(OR(report!#REF!="",report!#REF!=""),NA(),report!#REF!/report!#REF!-1)</f>
        <v>#REF!</v>
      </c>
      <c r="E257" s="2" t="e">
        <f>IF(OR(report!#REF!="",report!#REF!=""),NA(),report!#REF!/report!#REF!-1)</f>
        <v>#REF!</v>
      </c>
      <c r="F257" s="2" t="e">
        <f>IF(OR(report!#REF!="",report!#REF!=""),NA(),report!#REF!/report!#REF!-1)</f>
        <v>#REF!</v>
      </c>
      <c r="G257" s="2" t="e">
        <f>IF(OR(report!#REF!="",report!#REF!=""),NA(),report!#REF!/report!#REF!-1)</f>
        <v>#REF!</v>
      </c>
      <c r="H257" s="2" t="e">
        <f>IF(OR(report!#REF!="",report!#REF!=""),NA(),report!#REF!/report!#REF!-1)</f>
        <v>#REF!</v>
      </c>
      <c r="I257" s="2" t="e">
        <f>IF(OR(report!#REF!="",report!#REF!=""),NA(),report!#REF!/report!#REF!-1)</f>
        <v>#REF!</v>
      </c>
      <c r="J257" s="2" t="e">
        <f>IF(OR(report!#REF!="",report!#REF!=""),NA(),report!#REF!/report!#REF!-1)</f>
        <v>#REF!</v>
      </c>
      <c r="K257" s="2" t="e">
        <f>IF(OR(report!#REF!="",report!#REF!=""),NA(),report!#REF!/report!#REF!-1)</f>
        <v>#REF!</v>
      </c>
      <c r="L257" s="2" t="e">
        <f>IF(OR(report!#REF!="",report!#REF!=""),NA(),report!#REF!/report!#REF!-1)</f>
        <v>#REF!</v>
      </c>
    </row>
    <row r="258" spans="1:12" x14ac:dyDescent="0.75">
      <c r="A258" s="1" t="e">
        <f>report!#REF!</f>
        <v>#REF!</v>
      </c>
      <c r="B258" s="2" t="e">
        <f>IF(OR(report!#REF!="",report!#REF!=""),NA(),report!#REF!/report!#REF!-1)</f>
        <v>#REF!</v>
      </c>
      <c r="C258" s="2" t="e">
        <f>IF(OR(report!#REF!="",report!#REF!=""),NA(),report!#REF!/report!#REF!-1)</f>
        <v>#REF!</v>
      </c>
      <c r="D258" s="2" t="e">
        <f>IF(OR(report!#REF!="",report!#REF!=""),NA(),report!#REF!/report!#REF!-1)</f>
        <v>#REF!</v>
      </c>
      <c r="E258" s="2" t="e">
        <f>IF(OR(report!#REF!="",report!#REF!=""),NA(),report!#REF!/report!#REF!-1)</f>
        <v>#REF!</v>
      </c>
      <c r="F258" s="2" t="e">
        <f>IF(OR(report!#REF!="",report!#REF!=""),NA(),report!#REF!/report!#REF!-1)</f>
        <v>#REF!</v>
      </c>
      <c r="G258" s="2" t="e">
        <f>IF(OR(report!#REF!="",report!#REF!=""),NA(),report!#REF!/report!#REF!-1)</f>
        <v>#REF!</v>
      </c>
      <c r="H258" s="2" t="e">
        <f>IF(OR(report!#REF!="",report!#REF!=""),NA(),report!#REF!/report!#REF!-1)</f>
        <v>#REF!</v>
      </c>
      <c r="I258" s="2" t="e">
        <f>IF(OR(report!#REF!="",report!#REF!=""),NA(),report!#REF!/report!#REF!-1)</f>
        <v>#REF!</v>
      </c>
      <c r="J258" s="2" t="e">
        <f>IF(OR(report!#REF!="",report!#REF!=""),NA(),report!#REF!/report!#REF!-1)</f>
        <v>#REF!</v>
      </c>
      <c r="K258" s="2" t="e">
        <f>IF(OR(report!#REF!="",report!#REF!=""),NA(),report!#REF!/report!#REF!-1)</f>
        <v>#REF!</v>
      </c>
      <c r="L258" s="2" t="e">
        <f>IF(OR(report!#REF!="",report!#REF!=""),NA(),report!#REF!/report!#REF!-1)</f>
        <v>#REF!</v>
      </c>
    </row>
    <row r="259" spans="1:12" x14ac:dyDescent="0.75">
      <c r="A259" s="1" t="e">
        <f>report!#REF!</f>
        <v>#REF!</v>
      </c>
      <c r="B259" s="2" t="e">
        <f>IF(OR(report!#REF!="",report!#REF!=""),NA(),report!#REF!/report!#REF!-1)</f>
        <v>#REF!</v>
      </c>
      <c r="C259" s="2" t="e">
        <f>IF(OR(report!#REF!="",report!#REF!=""),NA(),report!#REF!/report!#REF!-1)</f>
        <v>#REF!</v>
      </c>
      <c r="D259" s="2" t="e">
        <f>IF(OR(report!#REF!="",report!#REF!=""),NA(),report!#REF!/report!#REF!-1)</f>
        <v>#REF!</v>
      </c>
      <c r="E259" s="2" t="e">
        <f>IF(OR(report!#REF!="",report!#REF!=""),NA(),report!#REF!/report!#REF!-1)</f>
        <v>#REF!</v>
      </c>
      <c r="F259" s="2" t="e">
        <f>IF(OR(report!#REF!="",report!#REF!=""),NA(),report!#REF!/report!#REF!-1)</f>
        <v>#REF!</v>
      </c>
      <c r="G259" s="2" t="e">
        <f>IF(OR(report!#REF!="",report!#REF!=""),NA(),report!#REF!/report!#REF!-1)</f>
        <v>#REF!</v>
      </c>
      <c r="H259" s="2" t="e">
        <f>IF(OR(report!#REF!="",report!#REF!=""),NA(),report!#REF!/report!#REF!-1)</f>
        <v>#REF!</v>
      </c>
      <c r="I259" s="2" t="e">
        <f>IF(OR(report!#REF!="",report!#REF!=""),NA(),report!#REF!/report!#REF!-1)</f>
        <v>#REF!</v>
      </c>
      <c r="J259" s="2" t="e">
        <f>IF(OR(report!#REF!="",report!#REF!=""),NA(),report!#REF!/report!#REF!-1)</f>
        <v>#REF!</v>
      </c>
      <c r="K259" s="2" t="e">
        <f>IF(OR(report!#REF!="",report!#REF!=""),NA(),report!#REF!/report!#REF!-1)</f>
        <v>#REF!</v>
      </c>
      <c r="L259" s="2" t="e">
        <f>IF(OR(report!#REF!="",report!#REF!=""),NA(),report!#REF!/report!#REF!-1)</f>
        <v>#REF!</v>
      </c>
    </row>
    <row r="260" spans="1:12" x14ac:dyDescent="0.75">
      <c r="A260" s="1" t="e">
        <f>report!#REF!</f>
        <v>#REF!</v>
      </c>
      <c r="B260" s="2" t="e">
        <f>IF(OR(report!#REF!="",report!#REF!=""),NA(),report!#REF!/report!#REF!-1)</f>
        <v>#REF!</v>
      </c>
      <c r="C260" s="2" t="e">
        <f>IF(OR(report!#REF!="",report!#REF!=""),NA(),report!#REF!/report!#REF!-1)</f>
        <v>#REF!</v>
      </c>
      <c r="D260" s="2" t="e">
        <f>IF(OR(report!#REF!="",report!#REF!=""),NA(),report!#REF!/report!#REF!-1)</f>
        <v>#REF!</v>
      </c>
      <c r="E260" s="2" t="e">
        <f>IF(OR(report!#REF!="",report!#REF!=""),NA(),report!#REF!/report!#REF!-1)</f>
        <v>#REF!</v>
      </c>
      <c r="F260" s="2" t="e">
        <f>IF(OR(report!#REF!="",report!#REF!=""),NA(),report!#REF!/report!#REF!-1)</f>
        <v>#REF!</v>
      </c>
      <c r="G260" s="2" t="e">
        <f>IF(OR(report!#REF!="",report!#REF!=""),NA(),report!#REF!/report!#REF!-1)</f>
        <v>#REF!</v>
      </c>
      <c r="H260" s="2" t="e">
        <f>IF(OR(report!#REF!="",report!#REF!=""),NA(),report!#REF!/report!#REF!-1)</f>
        <v>#REF!</v>
      </c>
      <c r="I260" s="2" t="e">
        <f>IF(OR(report!#REF!="",report!#REF!=""),NA(),report!#REF!/report!#REF!-1)</f>
        <v>#REF!</v>
      </c>
      <c r="J260" s="2" t="e">
        <f>IF(OR(report!#REF!="",report!#REF!=""),NA(),report!#REF!/report!#REF!-1)</f>
        <v>#REF!</v>
      </c>
      <c r="K260" s="2" t="e">
        <f>IF(OR(report!#REF!="",report!#REF!=""),NA(),report!#REF!/report!#REF!-1)</f>
        <v>#REF!</v>
      </c>
      <c r="L260" s="2" t="e">
        <f>IF(OR(report!#REF!="",report!#REF!=""),NA(),report!#REF!/report!#REF!-1)</f>
        <v>#REF!</v>
      </c>
    </row>
    <row r="261" spans="1:12" x14ac:dyDescent="0.75">
      <c r="A261" s="1" t="e">
        <f>report!#REF!</f>
        <v>#REF!</v>
      </c>
      <c r="B261" s="2" t="e">
        <f>IF(OR(report!#REF!="",report!#REF!=""),NA(),report!#REF!/report!#REF!-1)</f>
        <v>#REF!</v>
      </c>
      <c r="C261" s="2" t="e">
        <f>IF(OR(report!#REF!="",report!#REF!=""),NA(),report!#REF!/report!#REF!-1)</f>
        <v>#REF!</v>
      </c>
      <c r="D261" s="2" t="e">
        <f>IF(OR(report!#REF!="",report!#REF!=""),NA(),report!#REF!/report!#REF!-1)</f>
        <v>#REF!</v>
      </c>
      <c r="E261" s="2" t="e">
        <f>IF(OR(report!#REF!="",report!#REF!=""),NA(),report!#REF!/report!#REF!-1)</f>
        <v>#REF!</v>
      </c>
      <c r="F261" s="2" t="e">
        <f>IF(OR(report!#REF!="",report!#REF!=""),NA(),report!#REF!/report!#REF!-1)</f>
        <v>#REF!</v>
      </c>
      <c r="G261" s="2" t="e">
        <f>IF(OR(report!#REF!="",report!#REF!=""),NA(),report!#REF!/report!#REF!-1)</f>
        <v>#REF!</v>
      </c>
      <c r="H261" s="2" t="e">
        <f>IF(OR(report!#REF!="",report!#REF!=""),NA(),report!#REF!/report!#REF!-1)</f>
        <v>#REF!</v>
      </c>
      <c r="I261" s="2" t="e">
        <f>IF(OR(report!#REF!="",report!#REF!=""),NA(),report!#REF!/report!#REF!-1)</f>
        <v>#REF!</v>
      </c>
      <c r="J261" s="2" t="e">
        <f>IF(OR(report!#REF!="",report!#REF!=""),NA(),report!#REF!/report!#REF!-1)</f>
        <v>#REF!</v>
      </c>
      <c r="K261" s="2" t="e">
        <f>IF(OR(report!#REF!="",report!#REF!=""),NA(),report!#REF!/report!#REF!-1)</f>
        <v>#REF!</v>
      </c>
      <c r="L261" s="2" t="e">
        <f>IF(OR(report!#REF!="",report!#REF!=""),NA(),report!#REF!/report!#REF!-1)</f>
        <v>#REF!</v>
      </c>
    </row>
    <row r="262" spans="1:12" x14ac:dyDescent="0.75">
      <c r="A262" s="1" t="e">
        <f>report!#REF!</f>
        <v>#REF!</v>
      </c>
      <c r="B262" s="2" t="e">
        <f>IF(OR(report!#REF!="",report!#REF!=""),NA(),report!#REF!/report!#REF!-1)</f>
        <v>#REF!</v>
      </c>
      <c r="C262" s="2" t="e">
        <f>IF(OR(report!#REF!="",report!#REF!=""),NA(),report!#REF!/report!#REF!-1)</f>
        <v>#REF!</v>
      </c>
      <c r="D262" s="2" t="e">
        <f>IF(OR(report!#REF!="",report!#REF!=""),NA(),report!#REF!/report!#REF!-1)</f>
        <v>#REF!</v>
      </c>
      <c r="E262" s="2" t="e">
        <f>IF(OR(report!#REF!="",report!#REF!=""),NA(),report!#REF!/report!#REF!-1)</f>
        <v>#REF!</v>
      </c>
      <c r="F262" s="2" t="e">
        <f>IF(OR(report!#REF!="",report!#REF!=""),NA(),report!#REF!/report!#REF!-1)</f>
        <v>#REF!</v>
      </c>
      <c r="G262" s="2" t="e">
        <f>IF(OR(report!#REF!="",report!#REF!=""),NA(),report!#REF!/report!#REF!-1)</f>
        <v>#REF!</v>
      </c>
      <c r="H262" s="2" t="e">
        <f>IF(OR(report!#REF!="",report!#REF!=""),NA(),report!#REF!/report!#REF!-1)</f>
        <v>#REF!</v>
      </c>
      <c r="I262" s="2" t="e">
        <f>IF(OR(report!#REF!="",report!#REF!=""),NA(),report!#REF!/report!#REF!-1)</f>
        <v>#REF!</v>
      </c>
      <c r="J262" s="2" t="e">
        <f>IF(OR(report!#REF!="",report!#REF!=""),NA(),report!#REF!/report!#REF!-1)</f>
        <v>#REF!</v>
      </c>
      <c r="K262" s="2" t="e">
        <f>IF(OR(report!#REF!="",report!#REF!=""),NA(),report!#REF!/report!#REF!-1)</f>
        <v>#REF!</v>
      </c>
      <c r="L262" s="2" t="e">
        <f>IF(OR(report!#REF!="",report!#REF!=""),NA(),report!#REF!/report!#REF!-1)</f>
        <v>#REF!</v>
      </c>
    </row>
    <row r="263" spans="1:12" x14ac:dyDescent="0.75">
      <c r="A263" s="1" t="e">
        <f>report!#REF!</f>
        <v>#REF!</v>
      </c>
      <c r="B263" s="2" t="e">
        <f>IF(OR(report!#REF!="",report!#REF!=""),NA(),report!#REF!/report!#REF!-1)</f>
        <v>#REF!</v>
      </c>
      <c r="C263" s="2" t="e">
        <f>IF(OR(report!#REF!="",report!#REF!=""),NA(),report!#REF!/report!#REF!-1)</f>
        <v>#REF!</v>
      </c>
      <c r="D263" s="2" t="e">
        <f>IF(OR(report!#REF!="",report!#REF!=""),NA(),report!#REF!/report!#REF!-1)</f>
        <v>#REF!</v>
      </c>
      <c r="E263" s="2" t="e">
        <f>IF(OR(report!#REF!="",report!#REF!=""),NA(),report!#REF!/report!#REF!-1)</f>
        <v>#REF!</v>
      </c>
      <c r="F263" s="2" t="e">
        <f>IF(OR(report!#REF!="",report!#REF!=""),NA(),report!#REF!/report!#REF!-1)</f>
        <v>#REF!</v>
      </c>
      <c r="G263" s="2" t="e">
        <f>IF(OR(report!#REF!="",report!#REF!=""),NA(),report!#REF!/report!#REF!-1)</f>
        <v>#REF!</v>
      </c>
      <c r="H263" s="2" t="e">
        <f>IF(OR(report!#REF!="",report!#REF!=""),NA(),report!#REF!/report!#REF!-1)</f>
        <v>#REF!</v>
      </c>
      <c r="I263" s="2" t="e">
        <f>IF(OR(report!#REF!="",report!#REF!=""),NA(),report!#REF!/report!#REF!-1)</f>
        <v>#REF!</v>
      </c>
      <c r="J263" s="2" t="e">
        <f>IF(OR(report!#REF!="",report!#REF!=""),NA(),report!#REF!/report!#REF!-1)</f>
        <v>#REF!</v>
      </c>
      <c r="K263" s="2" t="e">
        <f>IF(OR(report!#REF!="",report!#REF!=""),NA(),report!#REF!/report!#REF!-1)</f>
        <v>#REF!</v>
      </c>
      <c r="L263" s="2" t="e">
        <f>IF(OR(report!#REF!="",report!#REF!=""),NA(),report!#REF!/report!#REF!-1)</f>
        <v>#REF!</v>
      </c>
    </row>
    <row r="264" spans="1:12" x14ac:dyDescent="0.75">
      <c r="A264" s="1" t="e">
        <f>report!#REF!</f>
        <v>#REF!</v>
      </c>
      <c r="B264" s="2" t="e">
        <f>IF(OR(report!#REF!="",report!#REF!=""),NA(),report!#REF!/report!#REF!-1)</f>
        <v>#REF!</v>
      </c>
      <c r="C264" s="2" t="e">
        <f>IF(OR(report!#REF!="",report!#REF!=""),NA(),report!#REF!/report!#REF!-1)</f>
        <v>#REF!</v>
      </c>
      <c r="D264" s="2" t="e">
        <f>IF(OR(report!#REF!="",report!#REF!=""),NA(),report!#REF!/report!#REF!-1)</f>
        <v>#REF!</v>
      </c>
      <c r="E264" s="2" t="e">
        <f>IF(OR(report!#REF!="",report!#REF!=""),NA(),report!#REF!/report!#REF!-1)</f>
        <v>#REF!</v>
      </c>
      <c r="F264" s="2" t="e">
        <f>IF(OR(report!#REF!="",report!#REF!=""),NA(),report!#REF!/report!#REF!-1)</f>
        <v>#REF!</v>
      </c>
      <c r="G264" s="2" t="e">
        <f>IF(OR(report!#REF!="",report!#REF!=""),NA(),report!#REF!/report!#REF!-1)</f>
        <v>#REF!</v>
      </c>
      <c r="H264" s="2" t="e">
        <f>IF(OR(report!#REF!="",report!#REF!=""),NA(),report!#REF!/report!#REF!-1)</f>
        <v>#REF!</v>
      </c>
      <c r="I264" s="2" t="e">
        <f>IF(OR(report!#REF!="",report!#REF!=""),NA(),report!#REF!/report!#REF!-1)</f>
        <v>#REF!</v>
      </c>
      <c r="J264" s="2" t="e">
        <f>IF(OR(report!#REF!="",report!#REF!=""),NA(),report!#REF!/report!#REF!-1)</f>
        <v>#REF!</v>
      </c>
      <c r="K264" s="2" t="e">
        <f>IF(OR(report!#REF!="",report!#REF!=""),NA(),report!#REF!/report!#REF!-1)</f>
        <v>#REF!</v>
      </c>
      <c r="L264" s="2" t="e">
        <f>IF(OR(report!#REF!="",report!#REF!=""),NA(),report!#REF!/report!#REF!-1)</f>
        <v>#REF!</v>
      </c>
    </row>
    <row r="265" spans="1:12" x14ac:dyDescent="0.75">
      <c r="A265" s="1" t="e">
        <f>report!#REF!</f>
        <v>#REF!</v>
      </c>
      <c r="B265" s="2" t="e">
        <f>IF(OR(report!#REF!="",report!#REF!=""),NA(),report!#REF!/report!#REF!-1)</f>
        <v>#REF!</v>
      </c>
      <c r="C265" s="2" t="e">
        <f>IF(OR(report!#REF!="",report!#REF!=""),NA(),report!#REF!/report!#REF!-1)</f>
        <v>#REF!</v>
      </c>
      <c r="D265" s="2" t="e">
        <f>IF(OR(report!#REF!="",report!#REF!=""),NA(),report!#REF!/report!#REF!-1)</f>
        <v>#REF!</v>
      </c>
      <c r="E265" s="2" t="e">
        <f>IF(OR(report!#REF!="",report!#REF!=""),NA(),report!#REF!/report!#REF!-1)</f>
        <v>#REF!</v>
      </c>
      <c r="F265" s="2" t="e">
        <f>IF(OR(report!#REF!="",report!#REF!=""),NA(),report!#REF!/report!#REF!-1)</f>
        <v>#REF!</v>
      </c>
      <c r="G265" s="2" t="e">
        <f>IF(OR(report!#REF!="",report!#REF!=""),NA(),report!#REF!/report!#REF!-1)</f>
        <v>#REF!</v>
      </c>
      <c r="H265" s="2" t="e">
        <f>IF(OR(report!#REF!="",report!#REF!=""),NA(),report!#REF!/report!#REF!-1)</f>
        <v>#REF!</v>
      </c>
      <c r="I265" s="2" t="e">
        <f>IF(OR(report!#REF!="",report!#REF!=""),NA(),report!#REF!/report!#REF!-1)</f>
        <v>#REF!</v>
      </c>
      <c r="J265" s="2" t="e">
        <f>IF(OR(report!#REF!="",report!#REF!=""),NA(),report!#REF!/report!#REF!-1)</f>
        <v>#REF!</v>
      </c>
      <c r="K265" s="2" t="e">
        <f>IF(OR(report!#REF!="",report!#REF!=""),NA(),report!#REF!/report!#REF!-1)</f>
        <v>#REF!</v>
      </c>
      <c r="L265" s="2" t="e">
        <f>IF(OR(report!#REF!="",report!#REF!=""),NA(),report!#REF!/report!#REF!-1)</f>
        <v>#REF!</v>
      </c>
    </row>
    <row r="266" spans="1:12" x14ac:dyDescent="0.75">
      <c r="A266" s="1" t="e">
        <f>report!#REF!</f>
        <v>#REF!</v>
      </c>
      <c r="B266" s="2" t="e">
        <f>IF(OR(report!#REF!="",report!#REF!=""),NA(),report!#REF!/report!#REF!-1)</f>
        <v>#REF!</v>
      </c>
      <c r="C266" s="2" t="e">
        <f>IF(OR(report!#REF!="",report!#REF!=""),NA(),report!#REF!/report!#REF!-1)</f>
        <v>#REF!</v>
      </c>
      <c r="D266" s="2" t="e">
        <f>IF(OR(report!#REF!="",report!#REF!=""),NA(),report!#REF!/report!#REF!-1)</f>
        <v>#REF!</v>
      </c>
      <c r="E266" s="2" t="e">
        <f>IF(OR(report!#REF!="",report!#REF!=""),NA(),report!#REF!/report!#REF!-1)</f>
        <v>#REF!</v>
      </c>
      <c r="F266" s="2" t="e">
        <f>IF(OR(report!#REF!="",report!#REF!=""),NA(),report!#REF!/report!#REF!-1)</f>
        <v>#REF!</v>
      </c>
      <c r="G266" s="2" t="e">
        <f>IF(OR(report!#REF!="",report!#REF!=""),NA(),report!#REF!/report!#REF!-1)</f>
        <v>#REF!</v>
      </c>
      <c r="H266" s="2" t="e">
        <f>IF(OR(report!#REF!="",report!#REF!=""),NA(),report!#REF!/report!#REF!-1)</f>
        <v>#REF!</v>
      </c>
      <c r="I266" s="2" t="e">
        <f>IF(OR(report!#REF!="",report!#REF!=""),NA(),report!#REF!/report!#REF!-1)</f>
        <v>#REF!</v>
      </c>
      <c r="J266" s="2" t="e">
        <f>IF(OR(report!#REF!="",report!#REF!=""),NA(),report!#REF!/report!#REF!-1)</f>
        <v>#REF!</v>
      </c>
      <c r="K266" s="2" t="e">
        <f>IF(OR(report!#REF!="",report!#REF!=""),NA(),report!#REF!/report!#REF!-1)</f>
        <v>#REF!</v>
      </c>
      <c r="L266" s="2" t="e">
        <f>IF(OR(report!#REF!="",report!#REF!=""),NA(),report!#REF!/report!#REF!-1)</f>
        <v>#REF!</v>
      </c>
    </row>
    <row r="267" spans="1:12" x14ac:dyDescent="0.75">
      <c r="A267" s="1" t="e">
        <f>report!#REF!</f>
        <v>#REF!</v>
      </c>
      <c r="B267" s="2" t="e">
        <f>IF(OR(report!#REF!="",report!#REF!=""),NA(),report!#REF!/report!#REF!-1)</f>
        <v>#REF!</v>
      </c>
      <c r="C267" s="2" t="e">
        <f>IF(OR(report!#REF!="",report!#REF!=""),NA(),report!#REF!/report!#REF!-1)</f>
        <v>#REF!</v>
      </c>
      <c r="D267" s="2" t="e">
        <f>IF(OR(report!#REF!="",report!#REF!=""),NA(),report!#REF!/report!#REF!-1)</f>
        <v>#REF!</v>
      </c>
      <c r="E267" s="2" t="e">
        <f>IF(OR(report!#REF!="",report!#REF!=""),NA(),report!#REF!/report!#REF!-1)</f>
        <v>#REF!</v>
      </c>
      <c r="F267" s="2" t="e">
        <f>IF(OR(report!#REF!="",report!#REF!=""),NA(),report!#REF!/report!#REF!-1)</f>
        <v>#REF!</v>
      </c>
      <c r="G267" s="2" t="e">
        <f>IF(OR(report!#REF!="",report!#REF!=""),NA(),report!#REF!/report!#REF!-1)</f>
        <v>#REF!</v>
      </c>
      <c r="H267" s="2" t="e">
        <f>IF(OR(report!#REF!="",report!#REF!=""),NA(),report!#REF!/report!#REF!-1)</f>
        <v>#REF!</v>
      </c>
      <c r="I267" s="2" t="e">
        <f>IF(OR(report!#REF!="",report!#REF!=""),NA(),report!#REF!/report!#REF!-1)</f>
        <v>#REF!</v>
      </c>
      <c r="J267" s="2" t="e">
        <f>IF(OR(report!#REF!="",report!#REF!=""),NA(),report!#REF!/report!#REF!-1)</f>
        <v>#REF!</v>
      </c>
      <c r="K267" s="2" t="e">
        <f>IF(OR(report!#REF!="",report!#REF!=""),NA(),report!#REF!/report!#REF!-1)</f>
        <v>#REF!</v>
      </c>
      <c r="L267" s="2" t="e">
        <f>IF(OR(report!#REF!="",report!#REF!=""),NA(),report!#REF!/report!#REF!-1)</f>
        <v>#REF!</v>
      </c>
    </row>
    <row r="268" spans="1:12" x14ac:dyDescent="0.75">
      <c r="A268" s="1" t="e">
        <f>report!#REF!</f>
        <v>#REF!</v>
      </c>
      <c r="B268" s="2" t="e">
        <f>IF(OR(report!#REF!="",report!#REF!=""),NA(),report!#REF!/report!#REF!-1)</f>
        <v>#REF!</v>
      </c>
      <c r="C268" s="2" t="e">
        <f>IF(OR(report!#REF!="",report!#REF!=""),NA(),report!#REF!/report!#REF!-1)</f>
        <v>#REF!</v>
      </c>
      <c r="D268" s="2" t="e">
        <f>IF(OR(report!#REF!="",report!#REF!=""),NA(),report!#REF!/report!#REF!-1)</f>
        <v>#REF!</v>
      </c>
      <c r="E268" s="2" t="e">
        <f>IF(OR(report!#REF!="",report!#REF!=""),NA(),report!#REF!/report!#REF!-1)</f>
        <v>#REF!</v>
      </c>
      <c r="F268" s="2" t="e">
        <f>IF(OR(report!#REF!="",report!#REF!=""),NA(),report!#REF!/report!#REF!-1)</f>
        <v>#REF!</v>
      </c>
      <c r="G268" s="2" t="e">
        <f>IF(OR(report!#REF!="",report!#REF!=""),NA(),report!#REF!/report!#REF!-1)</f>
        <v>#REF!</v>
      </c>
      <c r="H268" s="2" t="e">
        <f>IF(OR(report!#REF!="",report!#REF!=""),NA(),report!#REF!/report!#REF!-1)</f>
        <v>#REF!</v>
      </c>
      <c r="I268" s="2" t="e">
        <f>IF(OR(report!#REF!="",report!#REF!=""),NA(),report!#REF!/report!#REF!-1)</f>
        <v>#REF!</v>
      </c>
      <c r="J268" s="2" t="e">
        <f>IF(OR(report!#REF!="",report!#REF!=""),NA(),report!#REF!/report!#REF!-1)</f>
        <v>#REF!</v>
      </c>
      <c r="K268" s="2" t="e">
        <f>IF(OR(report!#REF!="",report!#REF!=""),NA(),report!#REF!/report!#REF!-1)</f>
        <v>#REF!</v>
      </c>
      <c r="L268" s="2" t="e">
        <f>IF(OR(report!#REF!="",report!#REF!=""),NA(),report!#REF!/report!#REF!-1)</f>
        <v>#REF!</v>
      </c>
    </row>
    <row r="269" spans="1:12" x14ac:dyDescent="0.75">
      <c r="A269" s="1" t="e">
        <f>report!#REF!</f>
        <v>#REF!</v>
      </c>
      <c r="B269" s="2" t="e">
        <f>IF(OR(report!#REF!="",report!#REF!=""),NA(),report!#REF!/report!#REF!-1)</f>
        <v>#REF!</v>
      </c>
      <c r="C269" s="2" t="e">
        <f>IF(OR(report!#REF!="",report!#REF!=""),NA(),report!#REF!/report!#REF!-1)</f>
        <v>#REF!</v>
      </c>
      <c r="D269" s="2" t="e">
        <f>IF(OR(report!#REF!="",report!#REF!=""),NA(),report!#REF!/report!#REF!-1)</f>
        <v>#REF!</v>
      </c>
      <c r="E269" s="2" t="e">
        <f>IF(OR(report!#REF!="",report!#REF!=""),NA(),report!#REF!/report!#REF!-1)</f>
        <v>#REF!</v>
      </c>
      <c r="F269" s="2" t="e">
        <f>IF(OR(report!#REF!="",report!#REF!=""),NA(),report!#REF!/report!#REF!-1)</f>
        <v>#REF!</v>
      </c>
      <c r="G269" s="2" t="e">
        <f>IF(OR(report!#REF!="",report!#REF!=""),NA(),report!#REF!/report!#REF!-1)</f>
        <v>#REF!</v>
      </c>
      <c r="H269" s="2" t="e">
        <f>IF(OR(report!#REF!="",report!#REF!=""),NA(),report!#REF!/report!#REF!-1)</f>
        <v>#REF!</v>
      </c>
      <c r="I269" s="2" t="e">
        <f>IF(OR(report!#REF!="",report!#REF!=""),NA(),report!#REF!/report!#REF!-1)</f>
        <v>#REF!</v>
      </c>
      <c r="J269" s="2" t="e">
        <f>IF(OR(report!#REF!="",report!#REF!=""),NA(),report!#REF!/report!#REF!-1)</f>
        <v>#REF!</v>
      </c>
      <c r="K269" s="2" t="e">
        <f>IF(OR(report!#REF!="",report!#REF!=""),NA(),report!#REF!/report!#REF!-1)</f>
        <v>#REF!</v>
      </c>
      <c r="L269" s="2" t="e">
        <f>IF(OR(report!#REF!="",report!#REF!=""),NA(),report!#REF!/report!#REF!-1)</f>
        <v>#REF!</v>
      </c>
    </row>
    <row r="270" spans="1:12" x14ac:dyDescent="0.75">
      <c r="A270" s="1" t="e">
        <f>report!#REF!</f>
        <v>#REF!</v>
      </c>
      <c r="B270" s="2" t="e">
        <f>IF(OR(report!#REF!="",report!#REF!=""),NA(),report!#REF!/report!#REF!-1)</f>
        <v>#REF!</v>
      </c>
      <c r="C270" s="2" t="e">
        <f>IF(OR(report!#REF!="",report!#REF!=""),NA(),report!#REF!/report!#REF!-1)</f>
        <v>#REF!</v>
      </c>
      <c r="D270" s="2" t="e">
        <f>IF(OR(report!#REF!="",report!#REF!=""),NA(),report!#REF!/report!#REF!-1)</f>
        <v>#REF!</v>
      </c>
      <c r="E270" s="2" t="e">
        <f>IF(OR(report!#REF!="",report!#REF!=""),NA(),report!#REF!/report!#REF!-1)</f>
        <v>#REF!</v>
      </c>
      <c r="F270" s="2" t="e">
        <f>IF(OR(report!#REF!="",report!#REF!=""),NA(),report!#REF!/report!#REF!-1)</f>
        <v>#REF!</v>
      </c>
      <c r="G270" s="2" t="e">
        <f>IF(OR(report!#REF!="",report!#REF!=""),NA(),report!#REF!/report!#REF!-1)</f>
        <v>#REF!</v>
      </c>
      <c r="H270" s="2" t="e">
        <f>IF(OR(report!#REF!="",report!#REF!=""),NA(),report!#REF!/report!#REF!-1)</f>
        <v>#REF!</v>
      </c>
      <c r="I270" s="2" t="e">
        <f>IF(OR(report!#REF!="",report!#REF!=""),NA(),report!#REF!/report!#REF!-1)</f>
        <v>#REF!</v>
      </c>
      <c r="J270" s="2" t="e">
        <f>IF(OR(report!#REF!="",report!#REF!=""),NA(),report!#REF!/report!#REF!-1)</f>
        <v>#REF!</v>
      </c>
      <c r="K270" s="2" t="e">
        <f>IF(OR(report!#REF!="",report!#REF!=""),NA(),report!#REF!/report!#REF!-1)</f>
        <v>#REF!</v>
      </c>
      <c r="L270" s="2" t="e">
        <f>IF(OR(report!#REF!="",report!#REF!=""),NA(),report!#REF!/report!#REF!-1)</f>
        <v>#REF!</v>
      </c>
    </row>
    <row r="271" spans="1:12" x14ac:dyDescent="0.75">
      <c r="A271" s="1" t="e">
        <f>report!#REF!</f>
        <v>#REF!</v>
      </c>
      <c r="B271" s="2" t="e">
        <f>IF(OR(report!#REF!="",report!#REF!=""),NA(),report!#REF!/report!#REF!-1)</f>
        <v>#REF!</v>
      </c>
      <c r="C271" s="2" t="e">
        <f>IF(OR(report!#REF!="",report!#REF!=""),NA(),report!#REF!/report!#REF!-1)</f>
        <v>#REF!</v>
      </c>
      <c r="D271" s="2" t="e">
        <f>IF(OR(report!#REF!="",report!#REF!=""),NA(),report!#REF!/report!#REF!-1)</f>
        <v>#REF!</v>
      </c>
      <c r="E271" s="2" t="e">
        <f>IF(OR(report!#REF!="",report!#REF!=""),NA(),report!#REF!/report!#REF!-1)</f>
        <v>#REF!</v>
      </c>
      <c r="F271" s="2" t="e">
        <f>IF(OR(report!#REF!="",report!#REF!=""),NA(),report!#REF!/report!#REF!-1)</f>
        <v>#REF!</v>
      </c>
      <c r="G271" s="2" t="e">
        <f>IF(OR(report!#REF!="",report!#REF!=""),NA(),report!#REF!/report!#REF!-1)</f>
        <v>#REF!</v>
      </c>
      <c r="H271" s="2" t="e">
        <f>IF(OR(report!#REF!="",report!#REF!=""),NA(),report!#REF!/report!#REF!-1)</f>
        <v>#REF!</v>
      </c>
      <c r="I271" s="2" t="e">
        <f>IF(OR(report!#REF!="",report!#REF!=""),NA(),report!#REF!/report!#REF!-1)</f>
        <v>#REF!</v>
      </c>
      <c r="J271" s="2" t="e">
        <f>IF(OR(report!#REF!="",report!#REF!=""),NA(),report!#REF!/report!#REF!-1)</f>
        <v>#REF!</v>
      </c>
      <c r="K271" s="2" t="e">
        <f>IF(OR(report!#REF!="",report!#REF!=""),NA(),report!#REF!/report!#REF!-1)</f>
        <v>#REF!</v>
      </c>
      <c r="L271" s="2" t="e">
        <f>IF(OR(report!#REF!="",report!#REF!=""),NA(),report!#REF!/report!#REF!-1)</f>
        <v>#REF!</v>
      </c>
    </row>
    <row r="272" spans="1:12" x14ac:dyDescent="0.75">
      <c r="A272" s="1" t="e">
        <f>report!#REF!</f>
        <v>#REF!</v>
      </c>
      <c r="B272" s="2" t="e">
        <f>IF(OR(report!#REF!="",report!#REF!=""),NA(),report!#REF!/report!#REF!-1)</f>
        <v>#REF!</v>
      </c>
      <c r="C272" s="2" t="e">
        <f>IF(OR(report!#REF!="",report!#REF!=""),NA(),report!#REF!/report!#REF!-1)</f>
        <v>#REF!</v>
      </c>
      <c r="D272" s="2" t="e">
        <f>IF(OR(report!#REF!="",report!#REF!=""),NA(),report!#REF!/report!#REF!-1)</f>
        <v>#REF!</v>
      </c>
      <c r="E272" s="2" t="e">
        <f>IF(OR(report!#REF!="",report!#REF!=""),NA(),report!#REF!/report!#REF!-1)</f>
        <v>#REF!</v>
      </c>
      <c r="F272" s="2" t="e">
        <f>IF(OR(report!#REF!="",report!#REF!=""),NA(),report!#REF!/report!#REF!-1)</f>
        <v>#REF!</v>
      </c>
      <c r="G272" s="2" t="e">
        <f>IF(OR(report!#REF!="",report!#REF!=""),NA(),report!#REF!/report!#REF!-1)</f>
        <v>#REF!</v>
      </c>
      <c r="H272" s="2" t="e">
        <f>IF(OR(report!#REF!="",report!#REF!=""),NA(),report!#REF!/report!#REF!-1)</f>
        <v>#REF!</v>
      </c>
      <c r="I272" s="2" t="e">
        <f>IF(OR(report!#REF!="",report!#REF!=""),NA(),report!#REF!/report!#REF!-1)</f>
        <v>#REF!</v>
      </c>
      <c r="J272" s="2" t="e">
        <f>IF(OR(report!#REF!="",report!#REF!=""),NA(),report!#REF!/report!#REF!-1)</f>
        <v>#REF!</v>
      </c>
      <c r="K272" s="2" t="e">
        <f>IF(OR(report!#REF!="",report!#REF!=""),NA(),report!#REF!/report!#REF!-1)</f>
        <v>#REF!</v>
      </c>
      <c r="L272" s="2" t="e">
        <f>IF(OR(report!#REF!="",report!#REF!=""),NA(),report!#REF!/report!#REF!-1)</f>
        <v>#REF!</v>
      </c>
    </row>
    <row r="273" spans="1:12" x14ac:dyDescent="0.75">
      <c r="A273" s="1" t="e">
        <f>report!#REF!</f>
        <v>#REF!</v>
      </c>
      <c r="B273" s="2" t="e">
        <f>IF(OR(report!#REF!="",report!#REF!=""),NA(),report!#REF!/report!#REF!-1)</f>
        <v>#REF!</v>
      </c>
      <c r="C273" s="2" t="e">
        <f>IF(OR(report!#REF!="",report!#REF!=""),NA(),report!#REF!/report!#REF!-1)</f>
        <v>#REF!</v>
      </c>
      <c r="D273" s="2" t="e">
        <f>IF(OR(report!#REF!="",report!#REF!=""),NA(),report!#REF!/report!#REF!-1)</f>
        <v>#REF!</v>
      </c>
      <c r="E273" s="2" t="e">
        <f>IF(OR(report!#REF!="",report!#REF!=""),NA(),report!#REF!/report!#REF!-1)</f>
        <v>#REF!</v>
      </c>
      <c r="F273" s="2" t="e">
        <f>IF(OR(report!#REF!="",report!#REF!=""),NA(),report!#REF!/report!#REF!-1)</f>
        <v>#REF!</v>
      </c>
      <c r="G273" s="2" t="e">
        <f>IF(OR(report!#REF!="",report!#REF!=""),NA(),report!#REF!/report!#REF!-1)</f>
        <v>#REF!</v>
      </c>
      <c r="H273" s="2" t="e">
        <f>IF(OR(report!#REF!="",report!#REF!=""),NA(),report!#REF!/report!#REF!-1)</f>
        <v>#REF!</v>
      </c>
      <c r="I273" s="2" t="e">
        <f>IF(OR(report!#REF!="",report!#REF!=""),NA(),report!#REF!/report!#REF!-1)</f>
        <v>#REF!</v>
      </c>
      <c r="J273" s="2" t="e">
        <f>IF(OR(report!#REF!="",report!#REF!=""),NA(),report!#REF!/report!#REF!-1)</f>
        <v>#REF!</v>
      </c>
      <c r="K273" s="2" t="e">
        <f>IF(OR(report!#REF!="",report!#REF!=""),NA(),report!#REF!/report!#REF!-1)</f>
        <v>#REF!</v>
      </c>
      <c r="L273" s="2" t="e">
        <f>IF(OR(report!#REF!="",report!#REF!=""),NA(),report!#REF!/report!#REF!-1)</f>
        <v>#REF!</v>
      </c>
    </row>
    <row r="274" spans="1:12" x14ac:dyDescent="0.75">
      <c r="A274" s="1" t="e">
        <f>report!#REF!</f>
        <v>#REF!</v>
      </c>
      <c r="B274" s="2" t="e">
        <f>IF(OR(report!#REF!="",report!#REF!=""),NA(),report!#REF!/report!#REF!-1)</f>
        <v>#REF!</v>
      </c>
      <c r="C274" s="2" t="e">
        <f>IF(OR(report!#REF!="",report!#REF!=""),NA(),report!#REF!/report!#REF!-1)</f>
        <v>#REF!</v>
      </c>
      <c r="D274" s="2" t="e">
        <f>IF(OR(report!#REF!="",report!#REF!=""),NA(),report!#REF!/report!#REF!-1)</f>
        <v>#REF!</v>
      </c>
      <c r="E274" s="2" t="e">
        <f>IF(OR(report!#REF!="",report!#REF!=""),NA(),report!#REF!/report!#REF!-1)</f>
        <v>#REF!</v>
      </c>
      <c r="F274" s="2" t="e">
        <f>IF(OR(report!#REF!="",report!#REF!=""),NA(),report!#REF!/report!#REF!-1)</f>
        <v>#REF!</v>
      </c>
      <c r="G274" s="2" t="e">
        <f>IF(OR(report!#REF!="",report!#REF!=""),NA(),report!#REF!/report!#REF!-1)</f>
        <v>#REF!</v>
      </c>
      <c r="H274" s="2" t="e">
        <f>IF(OR(report!#REF!="",report!#REF!=""),NA(),report!#REF!/report!#REF!-1)</f>
        <v>#REF!</v>
      </c>
      <c r="I274" s="2" t="e">
        <f>IF(OR(report!#REF!="",report!#REF!=""),NA(),report!#REF!/report!#REF!-1)</f>
        <v>#REF!</v>
      </c>
      <c r="J274" s="2" t="e">
        <f>IF(OR(report!#REF!="",report!#REF!=""),NA(),report!#REF!/report!#REF!-1)</f>
        <v>#REF!</v>
      </c>
      <c r="K274" s="2" t="e">
        <f>IF(OR(report!#REF!="",report!#REF!=""),NA(),report!#REF!/report!#REF!-1)</f>
        <v>#REF!</v>
      </c>
      <c r="L274" s="2" t="e">
        <f>IF(OR(report!#REF!="",report!#REF!=""),NA(),report!#REF!/report!#REF!-1)</f>
        <v>#REF!</v>
      </c>
    </row>
    <row r="275" spans="1:12" x14ac:dyDescent="0.75">
      <c r="A275" s="1" t="e">
        <f>report!#REF!</f>
        <v>#REF!</v>
      </c>
      <c r="B275" s="2" t="e">
        <f>IF(OR(report!#REF!="",report!#REF!=""),NA(),report!#REF!/report!#REF!-1)</f>
        <v>#REF!</v>
      </c>
      <c r="C275" s="2" t="e">
        <f>IF(OR(report!#REF!="",report!#REF!=""),NA(),report!#REF!/report!#REF!-1)</f>
        <v>#REF!</v>
      </c>
      <c r="D275" s="2" t="e">
        <f>IF(OR(report!#REF!="",report!#REF!=""),NA(),report!#REF!/report!#REF!-1)</f>
        <v>#REF!</v>
      </c>
      <c r="E275" s="2" t="e">
        <f>IF(OR(report!#REF!="",report!#REF!=""),NA(),report!#REF!/report!#REF!-1)</f>
        <v>#REF!</v>
      </c>
      <c r="F275" s="2" t="e">
        <f>IF(OR(report!#REF!="",report!#REF!=""),NA(),report!#REF!/report!#REF!-1)</f>
        <v>#REF!</v>
      </c>
      <c r="G275" s="2" t="e">
        <f>IF(OR(report!#REF!="",report!#REF!=""),NA(),report!#REF!/report!#REF!-1)</f>
        <v>#REF!</v>
      </c>
      <c r="H275" s="2" t="e">
        <f>IF(OR(report!#REF!="",report!#REF!=""),NA(),report!#REF!/report!#REF!-1)</f>
        <v>#REF!</v>
      </c>
      <c r="I275" s="2" t="e">
        <f>IF(OR(report!#REF!="",report!#REF!=""),NA(),report!#REF!/report!#REF!-1)</f>
        <v>#REF!</v>
      </c>
      <c r="J275" s="2" t="e">
        <f>IF(OR(report!#REF!="",report!#REF!=""),NA(),report!#REF!/report!#REF!-1)</f>
        <v>#REF!</v>
      </c>
      <c r="K275" s="2" t="e">
        <f>IF(OR(report!#REF!="",report!#REF!=""),NA(),report!#REF!/report!#REF!-1)</f>
        <v>#REF!</v>
      </c>
      <c r="L275" s="2" t="e">
        <f>IF(OR(report!#REF!="",report!#REF!=""),NA(),report!#REF!/report!#REF!-1)</f>
        <v>#REF!</v>
      </c>
    </row>
    <row r="276" spans="1:12" x14ac:dyDescent="0.75">
      <c r="A276" s="1" t="e">
        <f>report!#REF!</f>
        <v>#REF!</v>
      </c>
      <c r="B276" s="2" t="e">
        <f>IF(OR(report!#REF!="",report!#REF!=""),NA(),report!#REF!/report!#REF!-1)</f>
        <v>#REF!</v>
      </c>
      <c r="C276" s="2" t="e">
        <f>IF(OR(report!#REF!="",report!#REF!=""),NA(),report!#REF!/report!#REF!-1)</f>
        <v>#REF!</v>
      </c>
      <c r="D276" s="2" t="e">
        <f>IF(OR(report!#REF!="",report!#REF!=""),NA(),report!#REF!/report!#REF!-1)</f>
        <v>#REF!</v>
      </c>
      <c r="E276" s="2" t="e">
        <f>IF(OR(report!#REF!="",report!#REF!=""),NA(),report!#REF!/report!#REF!-1)</f>
        <v>#REF!</v>
      </c>
      <c r="F276" s="2" t="e">
        <f>IF(OR(report!#REF!="",report!#REF!=""),NA(),report!#REF!/report!#REF!-1)</f>
        <v>#REF!</v>
      </c>
      <c r="G276" s="2" t="e">
        <f>IF(OR(report!#REF!="",report!#REF!=""),NA(),report!#REF!/report!#REF!-1)</f>
        <v>#REF!</v>
      </c>
      <c r="H276" s="2" t="e">
        <f>IF(OR(report!#REF!="",report!#REF!=""),NA(),report!#REF!/report!#REF!-1)</f>
        <v>#REF!</v>
      </c>
      <c r="I276" s="2" t="e">
        <f>IF(OR(report!#REF!="",report!#REF!=""),NA(),report!#REF!/report!#REF!-1)</f>
        <v>#REF!</v>
      </c>
      <c r="J276" s="2" t="e">
        <f>IF(OR(report!#REF!="",report!#REF!=""),NA(),report!#REF!/report!#REF!-1)</f>
        <v>#REF!</v>
      </c>
      <c r="K276" s="2" t="e">
        <f>IF(OR(report!#REF!="",report!#REF!=""),NA(),report!#REF!/report!#REF!-1)</f>
        <v>#REF!</v>
      </c>
      <c r="L276" s="2" t="e">
        <f>IF(OR(report!#REF!="",report!#REF!=""),NA(),report!#REF!/report!#REF!-1)</f>
        <v>#REF!</v>
      </c>
    </row>
    <row r="277" spans="1:12" x14ac:dyDescent="0.75">
      <c r="A277" s="1" t="e">
        <f>report!#REF!</f>
        <v>#REF!</v>
      </c>
      <c r="B277" s="2" t="e">
        <f>IF(OR(report!#REF!="",report!#REF!=""),NA(),report!#REF!/report!#REF!-1)</f>
        <v>#REF!</v>
      </c>
      <c r="C277" s="2" t="e">
        <f>IF(OR(report!#REF!="",report!#REF!=""),NA(),report!#REF!/report!#REF!-1)</f>
        <v>#REF!</v>
      </c>
      <c r="D277" s="2" t="e">
        <f>IF(OR(report!#REF!="",report!#REF!=""),NA(),report!#REF!/report!#REF!-1)</f>
        <v>#REF!</v>
      </c>
      <c r="E277" s="2" t="e">
        <f>IF(OR(report!#REF!="",report!#REF!=""),NA(),report!#REF!/report!#REF!-1)</f>
        <v>#REF!</v>
      </c>
      <c r="F277" s="2" t="e">
        <f>IF(OR(report!#REF!="",report!#REF!=""),NA(),report!#REF!/report!#REF!-1)</f>
        <v>#REF!</v>
      </c>
      <c r="G277" s="2" t="e">
        <f>IF(OR(report!#REF!="",report!#REF!=""),NA(),report!#REF!/report!#REF!-1)</f>
        <v>#REF!</v>
      </c>
      <c r="H277" s="2" t="e">
        <f>IF(OR(report!#REF!="",report!#REF!=""),NA(),report!#REF!/report!#REF!-1)</f>
        <v>#REF!</v>
      </c>
      <c r="I277" s="2" t="e">
        <f>IF(OR(report!#REF!="",report!#REF!=""),NA(),report!#REF!/report!#REF!-1)</f>
        <v>#REF!</v>
      </c>
      <c r="J277" s="2" t="e">
        <f>IF(OR(report!#REF!="",report!#REF!=""),NA(),report!#REF!/report!#REF!-1)</f>
        <v>#REF!</v>
      </c>
      <c r="K277" s="2" t="e">
        <f>IF(OR(report!#REF!="",report!#REF!=""),NA(),report!#REF!/report!#REF!-1)</f>
        <v>#REF!</v>
      </c>
      <c r="L277" s="2" t="e">
        <f>IF(OR(report!#REF!="",report!#REF!=""),NA(),report!#REF!/report!#REF!-1)</f>
        <v>#REF!</v>
      </c>
    </row>
    <row r="278" spans="1:12" x14ac:dyDescent="0.75">
      <c r="A278" s="1" t="e">
        <f>report!#REF!</f>
        <v>#REF!</v>
      </c>
      <c r="B278" s="2" t="e">
        <f>IF(OR(report!#REF!="",report!#REF!=""),NA(),report!#REF!/report!#REF!-1)</f>
        <v>#REF!</v>
      </c>
      <c r="C278" s="2" t="e">
        <f>IF(OR(report!#REF!="",report!#REF!=""),NA(),report!#REF!/report!#REF!-1)</f>
        <v>#REF!</v>
      </c>
      <c r="D278" s="2" t="e">
        <f>IF(OR(report!#REF!="",report!#REF!=""),NA(),report!#REF!/report!#REF!-1)</f>
        <v>#REF!</v>
      </c>
      <c r="E278" s="2" t="e">
        <f>IF(OR(report!#REF!="",report!#REF!=""),NA(),report!#REF!/report!#REF!-1)</f>
        <v>#REF!</v>
      </c>
      <c r="F278" s="2" t="e">
        <f>IF(OR(report!#REF!="",report!#REF!=""),NA(),report!#REF!/report!#REF!-1)</f>
        <v>#REF!</v>
      </c>
      <c r="G278" s="2" t="e">
        <f>IF(OR(report!#REF!="",report!#REF!=""),NA(),report!#REF!/report!#REF!-1)</f>
        <v>#REF!</v>
      </c>
      <c r="H278" s="2" t="e">
        <f>IF(OR(report!#REF!="",report!#REF!=""),NA(),report!#REF!/report!#REF!-1)</f>
        <v>#REF!</v>
      </c>
      <c r="I278" s="2" t="e">
        <f>IF(OR(report!#REF!="",report!#REF!=""),NA(),report!#REF!/report!#REF!-1)</f>
        <v>#REF!</v>
      </c>
      <c r="J278" s="2" t="e">
        <f>IF(OR(report!#REF!="",report!#REF!=""),NA(),report!#REF!/report!#REF!-1)</f>
        <v>#REF!</v>
      </c>
      <c r="K278" s="2" t="e">
        <f>IF(OR(report!#REF!="",report!#REF!=""),NA(),report!#REF!/report!#REF!-1)</f>
        <v>#REF!</v>
      </c>
      <c r="L278" s="2" t="e">
        <f>IF(OR(report!#REF!="",report!#REF!=""),NA(),report!#REF!/report!#REF!-1)</f>
        <v>#REF!</v>
      </c>
    </row>
    <row r="279" spans="1:12" x14ac:dyDescent="0.75">
      <c r="A279" s="1" t="e">
        <f>report!#REF!</f>
        <v>#REF!</v>
      </c>
      <c r="B279" s="2" t="e">
        <f>IF(OR(report!#REF!="",report!#REF!=""),NA(),report!#REF!/report!#REF!-1)</f>
        <v>#REF!</v>
      </c>
      <c r="C279" s="2" t="e">
        <f>IF(OR(report!#REF!="",report!#REF!=""),NA(),report!#REF!/report!#REF!-1)</f>
        <v>#REF!</v>
      </c>
      <c r="D279" s="2" t="e">
        <f>IF(OR(report!#REF!="",report!#REF!=""),NA(),report!#REF!/report!#REF!-1)</f>
        <v>#REF!</v>
      </c>
      <c r="E279" s="2" t="e">
        <f>IF(OR(report!#REF!="",report!#REF!=""),NA(),report!#REF!/report!#REF!-1)</f>
        <v>#REF!</v>
      </c>
      <c r="F279" s="2" t="e">
        <f>IF(OR(report!#REF!="",report!#REF!=""),NA(),report!#REF!/report!#REF!-1)</f>
        <v>#REF!</v>
      </c>
      <c r="G279" s="2" t="e">
        <f>IF(OR(report!#REF!="",report!#REF!=""),NA(),report!#REF!/report!#REF!-1)</f>
        <v>#REF!</v>
      </c>
      <c r="H279" s="2" t="e">
        <f>IF(OR(report!#REF!="",report!#REF!=""),NA(),report!#REF!/report!#REF!-1)</f>
        <v>#REF!</v>
      </c>
      <c r="I279" s="2" t="e">
        <f>IF(OR(report!#REF!="",report!#REF!=""),NA(),report!#REF!/report!#REF!-1)</f>
        <v>#REF!</v>
      </c>
      <c r="J279" s="2" t="e">
        <f>IF(OR(report!#REF!="",report!#REF!=""),NA(),report!#REF!/report!#REF!-1)</f>
        <v>#REF!</v>
      </c>
      <c r="K279" s="2" t="e">
        <f>IF(OR(report!#REF!="",report!#REF!=""),NA(),report!#REF!/report!#REF!-1)</f>
        <v>#REF!</v>
      </c>
      <c r="L279" s="2" t="e">
        <f>IF(OR(report!#REF!="",report!#REF!=""),NA(),report!#REF!/report!#REF!-1)</f>
        <v>#REF!</v>
      </c>
    </row>
    <row r="280" spans="1:12" x14ac:dyDescent="0.75">
      <c r="A280" s="1" t="e">
        <f>report!#REF!</f>
        <v>#REF!</v>
      </c>
      <c r="B280" s="2" t="e">
        <f>IF(OR(report!#REF!="",report!#REF!=""),NA(),report!#REF!/report!#REF!-1)</f>
        <v>#REF!</v>
      </c>
      <c r="C280" s="2" t="e">
        <f>IF(OR(report!#REF!="",report!#REF!=""),NA(),report!#REF!/report!#REF!-1)</f>
        <v>#REF!</v>
      </c>
      <c r="D280" s="2" t="e">
        <f>IF(OR(report!#REF!="",report!#REF!=""),NA(),report!#REF!/report!#REF!-1)</f>
        <v>#REF!</v>
      </c>
      <c r="E280" s="2" t="e">
        <f>IF(OR(report!#REF!="",report!#REF!=""),NA(),report!#REF!/report!#REF!-1)</f>
        <v>#REF!</v>
      </c>
      <c r="F280" s="2" t="e">
        <f>IF(OR(report!#REF!="",report!#REF!=""),NA(),report!#REF!/report!#REF!-1)</f>
        <v>#REF!</v>
      </c>
      <c r="G280" s="2" t="e">
        <f>IF(OR(report!#REF!="",report!#REF!=""),NA(),report!#REF!/report!#REF!-1)</f>
        <v>#REF!</v>
      </c>
      <c r="H280" s="2" t="e">
        <f>IF(OR(report!#REF!="",report!#REF!=""),NA(),report!#REF!/report!#REF!-1)</f>
        <v>#REF!</v>
      </c>
      <c r="I280" s="2" t="e">
        <f>IF(OR(report!#REF!="",report!#REF!=""),NA(),report!#REF!/report!#REF!-1)</f>
        <v>#REF!</v>
      </c>
      <c r="J280" s="2" t="e">
        <f>IF(OR(report!#REF!="",report!#REF!=""),NA(),report!#REF!/report!#REF!-1)</f>
        <v>#REF!</v>
      </c>
      <c r="K280" s="2" t="e">
        <f>IF(OR(report!#REF!="",report!#REF!=""),NA(),report!#REF!/report!#REF!-1)</f>
        <v>#REF!</v>
      </c>
      <c r="L280" s="2" t="e">
        <f>IF(OR(report!#REF!="",report!#REF!=""),NA(),report!#REF!/report!#REF!-1)</f>
        <v>#REF!</v>
      </c>
    </row>
    <row r="281" spans="1:12" x14ac:dyDescent="0.75">
      <c r="A281" s="1" t="e">
        <f>report!#REF!</f>
        <v>#REF!</v>
      </c>
      <c r="B281" s="2" t="e">
        <f>IF(OR(report!#REF!="",report!#REF!=""),NA(),report!#REF!/report!#REF!-1)</f>
        <v>#REF!</v>
      </c>
      <c r="C281" s="2" t="e">
        <f>IF(OR(report!#REF!="",report!#REF!=""),NA(),report!#REF!/report!#REF!-1)</f>
        <v>#REF!</v>
      </c>
      <c r="D281" s="2" t="e">
        <f>IF(OR(report!#REF!="",report!#REF!=""),NA(),report!#REF!/report!#REF!-1)</f>
        <v>#REF!</v>
      </c>
      <c r="E281" s="2" t="e">
        <f>IF(OR(report!#REF!="",report!#REF!=""),NA(),report!#REF!/report!#REF!-1)</f>
        <v>#REF!</v>
      </c>
      <c r="F281" s="2" t="e">
        <f>IF(OR(report!#REF!="",report!#REF!=""),NA(),report!#REF!/report!#REF!-1)</f>
        <v>#REF!</v>
      </c>
      <c r="G281" s="2" t="e">
        <f>IF(OR(report!#REF!="",report!#REF!=""),NA(),report!#REF!/report!#REF!-1)</f>
        <v>#REF!</v>
      </c>
      <c r="H281" s="2" t="e">
        <f>IF(OR(report!#REF!="",report!#REF!=""),NA(),report!#REF!/report!#REF!-1)</f>
        <v>#REF!</v>
      </c>
      <c r="I281" s="2" t="e">
        <f>IF(OR(report!#REF!="",report!#REF!=""),NA(),report!#REF!/report!#REF!-1)</f>
        <v>#REF!</v>
      </c>
      <c r="J281" s="2" t="e">
        <f>IF(OR(report!#REF!="",report!#REF!=""),NA(),report!#REF!/report!#REF!-1)</f>
        <v>#REF!</v>
      </c>
      <c r="K281" s="2" t="e">
        <f>IF(OR(report!#REF!="",report!#REF!=""),NA(),report!#REF!/report!#REF!-1)</f>
        <v>#REF!</v>
      </c>
      <c r="L281" s="2" t="e">
        <f>IF(OR(report!#REF!="",report!#REF!=""),NA(),report!#REF!/report!#REF!-1)</f>
        <v>#REF!</v>
      </c>
    </row>
    <row r="282" spans="1:12" x14ac:dyDescent="0.75">
      <c r="A282" s="1" t="e">
        <f>report!#REF!</f>
        <v>#REF!</v>
      </c>
      <c r="B282" s="2" t="e">
        <f>IF(OR(report!#REF!="",report!#REF!=""),NA(),report!#REF!/report!#REF!-1)</f>
        <v>#REF!</v>
      </c>
      <c r="C282" s="2" t="e">
        <f>IF(OR(report!#REF!="",report!#REF!=""),NA(),report!#REF!/report!#REF!-1)</f>
        <v>#REF!</v>
      </c>
      <c r="D282" s="2" t="e">
        <f>IF(OR(report!#REF!="",report!#REF!=""),NA(),report!#REF!/report!#REF!-1)</f>
        <v>#REF!</v>
      </c>
      <c r="E282" s="2" t="e">
        <f>IF(OR(report!#REF!="",report!#REF!=""),NA(),report!#REF!/report!#REF!-1)</f>
        <v>#REF!</v>
      </c>
      <c r="F282" s="2" t="e">
        <f>IF(OR(report!#REF!="",report!#REF!=""),NA(),report!#REF!/report!#REF!-1)</f>
        <v>#REF!</v>
      </c>
      <c r="G282" s="2" t="e">
        <f>IF(OR(report!#REF!="",report!#REF!=""),NA(),report!#REF!/report!#REF!-1)</f>
        <v>#REF!</v>
      </c>
      <c r="H282" s="2" t="e">
        <f>IF(OR(report!#REF!="",report!#REF!=""),NA(),report!#REF!/report!#REF!-1)</f>
        <v>#REF!</v>
      </c>
      <c r="I282" s="2" t="e">
        <f>IF(OR(report!#REF!="",report!#REF!=""),NA(),report!#REF!/report!#REF!-1)</f>
        <v>#REF!</v>
      </c>
      <c r="J282" s="2" t="e">
        <f>IF(OR(report!#REF!="",report!#REF!=""),NA(),report!#REF!/report!#REF!-1)</f>
        <v>#REF!</v>
      </c>
      <c r="K282" s="2" t="e">
        <f>IF(OR(report!#REF!="",report!#REF!=""),NA(),report!#REF!/report!#REF!-1)</f>
        <v>#REF!</v>
      </c>
      <c r="L282" s="2" t="e">
        <f>IF(OR(report!#REF!="",report!#REF!=""),NA(),report!#REF!/report!#REF!-1)</f>
        <v>#REF!</v>
      </c>
    </row>
    <row r="283" spans="1:12" x14ac:dyDescent="0.75">
      <c r="A283" s="1" t="e">
        <f>report!#REF!</f>
        <v>#REF!</v>
      </c>
      <c r="B283" s="2" t="e">
        <f>IF(OR(report!#REF!="",report!#REF!=""),NA(),report!#REF!/report!#REF!-1)</f>
        <v>#REF!</v>
      </c>
      <c r="C283" s="2" t="e">
        <f>IF(OR(report!#REF!="",report!#REF!=""),NA(),report!#REF!/report!#REF!-1)</f>
        <v>#REF!</v>
      </c>
      <c r="D283" s="2" t="e">
        <f>IF(OR(report!#REF!="",report!#REF!=""),NA(),report!#REF!/report!#REF!-1)</f>
        <v>#REF!</v>
      </c>
      <c r="E283" s="2" t="e">
        <f>IF(OR(report!#REF!="",report!#REF!=""),NA(),report!#REF!/report!#REF!-1)</f>
        <v>#REF!</v>
      </c>
      <c r="F283" s="2" t="e">
        <f>IF(OR(report!#REF!="",report!#REF!=""),NA(),report!#REF!/report!#REF!-1)</f>
        <v>#REF!</v>
      </c>
      <c r="G283" s="2" t="e">
        <f>IF(OR(report!#REF!="",report!#REF!=""),NA(),report!#REF!/report!#REF!-1)</f>
        <v>#REF!</v>
      </c>
      <c r="H283" s="2" t="e">
        <f>IF(OR(report!#REF!="",report!#REF!=""),NA(),report!#REF!/report!#REF!-1)</f>
        <v>#REF!</v>
      </c>
      <c r="I283" s="2" t="e">
        <f>IF(OR(report!#REF!="",report!#REF!=""),NA(),report!#REF!/report!#REF!-1)</f>
        <v>#REF!</v>
      </c>
      <c r="J283" s="2" t="e">
        <f>IF(OR(report!#REF!="",report!#REF!=""),NA(),report!#REF!/report!#REF!-1)</f>
        <v>#REF!</v>
      </c>
      <c r="K283" s="2" t="e">
        <f>IF(OR(report!#REF!="",report!#REF!=""),NA(),report!#REF!/report!#REF!-1)</f>
        <v>#REF!</v>
      </c>
      <c r="L283" s="2" t="e">
        <f>IF(OR(report!#REF!="",report!#REF!=""),NA(),report!#REF!/report!#REF!-1)</f>
        <v>#REF!</v>
      </c>
    </row>
    <row r="284" spans="1:12" x14ac:dyDescent="0.75">
      <c r="A284" s="1" t="e">
        <f>report!#REF!</f>
        <v>#REF!</v>
      </c>
      <c r="B284" s="2" t="e">
        <f>IF(OR(report!#REF!="",report!#REF!=""),NA(),report!#REF!/report!#REF!-1)</f>
        <v>#REF!</v>
      </c>
      <c r="C284" s="2" t="e">
        <f>IF(OR(report!#REF!="",report!#REF!=""),NA(),report!#REF!/report!#REF!-1)</f>
        <v>#REF!</v>
      </c>
      <c r="D284" s="2" t="e">
        <f>IF(OR(report!#REF!="",report!#REF!=""),NA(),report!#REF!/report!#REF!-1)</f>
        <v>#REF!</v>
      </c>
      <c r="E284" s="2" t="e">
        <f>IF(OR(report!#REF!="",report!#REF!=""),NA(),report!#REF!/report!#REF!-1)</f>
        <v>#REF!</v>
      </c>
      <c r="F284" s="2" t="e">
        <f>IF(OR(report!#REF!="",report!#REF!=""),NA(),report!#REF!/report!#REF!-1)</f>
        <v>#REF!</v>
      </c>
      <c r="G284" s="2" t="e">
        <f>IF(OR(report!#REF!="",report!#REF!=""),NA(),report!#REF!/report!#REF!-1)</f>
        <v>#REF!</v>
      </c>
      <c r="H284" s="2" t="e">
        <f>IF(OR(report!#REF!="",report!#REF!=""),NA(),report!#REF!/report!#REF!-1)</f>
        <v>#REF!</v>
      </c>
      <c r="I284" s="2" t="e">
        <f>IF(OR(report!#REF!="",report!#REF!=""),NA(),report!#REF!/report!#REF!-1)</f>
        <v>#REF!</v>
      </c>
      <c r="J284" s="2" t="e">
        <f>IF(OR(report!#REF!="",report!#REF!=""),NA(),report!#REF!/report!#REF!-1)</f>
        <v>#REF!</v>
      </c>
      <c r="K284" s="2" t="e">
        <f>IF(OR(report!#REF!="",report!#REF!=""),NA(),report!#REF!/report!#REF!-1)</f>
        <v>#REF!</v>
      </c>
      <c r="L284" s="2" t="e">
        <f>IF(OR(report!#REF!="",report!#REF!=""),NA(),report!#REF!/report!#REF!-1)</f>
        <v>#REF!</v>
      </c>
    </row>
    <row r="285" spans="1:12" x14ac:dyDescent="0.75">
      <c r="A285" s="1" t="e">
        <f>report!#REF!</f>
        <v>#REF!</v>
      </c>
      <c r="B285" s="2" t="e">
        <f>IF(OR(report!#REF!="",report!#REF!=""),NA(),report!#REF!/report!#REF!-1)</f>
        <v>#REF!</v>
      </c>
      <c r="C285" s="2" t="e">
        <f>IF(OR(report!#REF!="",report!#REF!=""),NA(),report!#REF!/report!#REF!-1)</f>
        <v>#REF!</v>
      </c>
      <c r="D285" s="2" t="e">
        <f>IF(OR(report!#REF!="",report!#REF!=""),NA(),report!#REF!/report!#REF!-1)</f>
        <v>#REF!</v>
      </c>
      <c r="E285" s="2" t="e">
        <f>IF(OR(report!#REF!="",report!#REF!=""),NA(),report!#REF!/report!#REF!-1)</f>
        <v>#REF!</v>
      </c>
      <c r="F285" s="2" t="e">
        <f>IF(OR(report!#REF!="",report!#REF!=""),NA(),report!#REF!/report!#REF!-1)</f>
        <v>#REF!</v>
      </c>
      <c r="G285" s="2" t="e">
        <f>IF(OR(report!#REF!="",report!#REF!=""),NA(),report!#REF!/report!#REF!-1)</f>
        <v>#REF!</v>
      </c>
      <c r="H285" s="2" t="e">
        <f>IF(OR(report!#REF!="",report!#REF!=""),NA(),report!#REF!/report!#REF!-1)</f>
        <v>#REF!</v>
      </c>
      <c r="I285" s="2" t="e">
        <f>IF(OR(report!#REF!="",report!#REF!=""),NA(),report!#REF!/report!#REF!-1)</f>
        <v>#REF!</v>
      </c>
      <c r="J285" s="2" t="e">
        <f>IF(OR(report!#REF!="",report!#REF!=""),NA(),report!#REF!/report!#REF!-1)</f>
        <v>#REF!</v>
      </c>
      <c r="K285" s="2" t="e">
        <f>IF(OR(report!#REF!="",report!#REF!=""),NA(),report!#REF!/report!#REF!-1)</f>
        <v>#REF!</v>
      </c>
      <c r="L285" s="2" t="e">
        <f>IF(OR(report!#REF!="",report!#REF!=""),NA(),report!#REF!/report!#REF!-1)</f>
        <v>#REF!</v>
      </c>
    </row>
    <row r="286" spans="1:12" x14ac:dyDescent="0.75">
      <c r="A286" s="1" t="e">
        <f>report!#REF!</f>
        <v>#REF!</v>
      </c>
      <c r="B286" s="2" t="e">
        <f>IF(OR(report!#REF!="",report!#REF!=""),NA(),report!#REF!/report!#REF!-1)</f>
        <v>#REF!</v>
      </c>
      <c r="C286" s="2" t="e">
        <f>IF(OR(report!#REF!="",report!#REF!=""),NA(),report!#REF!/report!#REF!-1)</f>
        <v>#REF!</v>
      </c>
      <c r="D286" s="2" t="e">
        <f>IF(OR(report!#REF!="",report!#REF!=""),NA(),report!#REF!/report!#REF!-1)</f>
        <v>#REF!</v>
      </c>
      <c r="E286" s="2" t="e">
        <f>IF(OR(report!#REF!="",report!#REF!=""),NA(),report!#REF!/report!#REF!-1)</f>
        <v>#REF!</v>
      </c>
      <c r="F286" s="2" t="e">
        <f>IF(OR(report!#REF!="",report!#REF!=""),NA(),report!#REF!/report!#REF!-1)</f>
        <v>#REF!</v>
      </c>
      <c r="G286" s="2" t="e">
        <f>IF(OR(report!#REF!="",report!#REF!=""),NA(),report!#REF!/report!#REF!-1)</f>
        <v>#REF!</v>
      </c>
      <c r="H286" s="2" t="e">
        <f>IF(OR(report!#REF!="",report!#REF!=""),NA(),report!#REF!/report!#REF!-1)</f>
        <v>#REF!</v>
      </c>
      <c r="I286" s="2" t="e">
        <f>IF(OR(report!#REF!="",report!#REF!=""),NA(),report!#REF!/report!#REF!-1)</f>
        <v>#REF!</v>
      </c>
      <c r="J286" s="2" t="e">
        <f>IF(OR(report!#REF!="",report!#REF!=""),NA(),report!#REF!/report!#REF!-1)</f>
        <v>#REF!</v>
      </c>
      <c r="K286" s="2" t="e">
        <f>IF(OR(report!#REF!="",report!#REF!=""),NA(),report!#REF!/report!#REF!-1)</f>
        <v>#REF!</v>
      </c>
      <c r="L286" s="2" t="e">
        <f>IF(OR(report!#REF!="",report!#REF!=""),NA(),report!#REF!/report!#REF!-1)</f>
        <v>#REF!</v>
      </c>
    </row>
    <row r="287" spans="1:12" x14ac:dyDescent="0.75">
      <c r="A287" s="1" t="e">
        <f>report!#REF!</f>
        <v>#REF!</v>
      </c>
      <c r="B287" s="2" t="e">
        <f>IF(OR(report!#REF!="",report!#REF!=""),NA(),report!#REF!/report!#REF!-1)</f>
        <v>#REF!</v>
      </c>
      <c r="C287" s="2" t="e">
        <f>IF(OR(report!#REF!="",report!#REF!=""),NA(),report!#REF!/report!#REF!-1)</f>
        <v>#REF!</v>
      </c>
      <c r="D287" s="2" t="e">
        <f>IF(OR(report!#REF!="",report!#REF!=""),NA(),report!#REF!/report!#REF!-1)</f>
        <v>#REF!</v>
      </c>
      <c r="E287" s="2" t="e">
        <f>IF(OR(report!#REF!="",report!#REF!=""),NA(),report!#REF!/report!#REF!-1)</f>
        <v>#REF!</v>
      </c>
      <c r="F287" s="2" t="e">
        <f>IF(OR(report!#REF!="",report!#REF!=""),NA(),report!#REF!/report!#REF!-1)</f>
        <v>#REF!</v>
      </c>
      <c r="G287" s="2" t="e">
        <f>IF(OR(report!#REF!="",report!#REF!=""),NA(),report!#REF!/report!#REF!-1)</f>
        <v>#REF!</v>
      </c>
      <c r="H287" s="2" t="e">
        <f>IF(OR(report!#REF!="",report!#REF!=""),NA(),report!#REF!/report!#REF!-1)</f>
        <v>#REF!</v>
      </c>
      <c r="I287" s="2" t="e">
        <f>IF(OR(report!#REF!="",report!#REF!=""),NA(),report!#REF!/report!#REF!-1)</f>
        <v>#REF!</v>
      </c>
      <c r="J287" s="2" t="e">
        <f>IF(OR(report!#REF!="",report!#REF!=""),NA(),report!#REF!/report!#REF!-1)</f>
        <v>#REF!</v>
      </c>
      <c r="K287" s="2" t="e">
        <f>IF(OR(report!#REF!="",report!#REF!=""),NA(),report!#REF!/report!#REF!-1)</f>
        <v>#REF!</v>
      </c>
      <c r="L287" s="2" t="e">
        <f>IF(OR(report!#REF!="",report!#REF!=""),NA(),report!#REF!/report!#REF!-1)</f>
        <v>#REF!</v>
      </c>
    </row>
    <row r="288" spans="1:12" x14ac:dyDescent="0.75">
      <c r="A288" s="1" t="e">
        <f>report!#REF!</f>
        <v>#REF!</v>
      </c>
      <c r="B288" s="2" t="e">
        <f>IF(OR(report!#REF!="",report!#REF!=""),NA(),report!#REF!/report!#REF!-1)</f>
        <v>#REF!</v>
      </c>
      <c r="C288" s="2" t="e">
        <f>IF(OR(report!#REF!="",report!#REF!=""),NA(),report!#REF!/report!#REF!-1)</f>
        <v>#REF!</v>
      </c>
      <c r="D288" s="2" t="e">
        <f>IF(OR(report!#REF!="",report!#REF!=""),NA(),report!#REF!/report!#REF!-1)</f>
        <v>#REF!</v>
      </c>
      <c r="E288" s="2" t="e">
        <f>IF(OR(report!#REF!="",report!#REF!=""),NA(),report!#REF!/report!#REF!-1)</f>
        <v>#REF!</v>
      </c>
      <c r="F288" s="2" t="e">
        <f>IF(OR(report!#REF!="",report!#REF!=""),NA(),report!#REF!/report!#REF!-1)</f>
        <v>#REF!</v>
      </c>
      <c r="G288" s="2" t="e">
        <f>IF(OR(report!#REF!="",report!#REF!=""),NA(),report!#REF!/report!#REF!-1)</f>
        <v>#REF!</v>
      </c>
      <c r="H288" s="2" t="e">
        <f>IF(OR(report!#REF!="",report!#REF!=""),NA(),report!#REF!/report!#REF!-1)</f>
        <v>#REF!</v>
      </c>
      <c r="I288" s="2" t="e">
        <f>IF(OR(report!#REF!="",report!#REF!=""),NA(),report!#REF!/report!#REF!-1)</f>
        <v>#REF!</v>
      </c>
      <c r="J288" s="2" t="e">
        <f>IF(OR(report!#REF!="",report!#REF!=""),NA(),report!#REF!/report!#REF!-1)</f>
        <v>#REF!</v>
      </c>
      <c r="K288" s="2" t="e">
        <f>IF(OR(report!#REF!="",report!#REF!=""),NA(),report!#REF!/report!#REF!-1)</f>
        <v>#REF!</v>
      </c>
      <c r="L288" s="2" t="e">
        <f>IF(OR(report!#REF!="",report!#REF!=""),NA(),report!#REF!/report!#REF!-1)</f>
        <v>#REF!</v>
      </c>
    </row>
    <row r="289" spans="1:12" x14ac:dyDescent="0.75">
      <c r="A289" s="1" t="e">
        <f>report!#REF!</f>
        <v>#REF!</v>
      </c>
      <c r="B289" s="2" t="e">
        <f>IF(OR(report!#REF!="",report!#REF!=""),NA(),report!#REF!/report!#REF!-1)</f>
        <v>#REF!</v>
      </c>
      <c r="C289" s="2" t="e">
        <f>IF(OR(report!#REF!="",report!#REF!=""),NA(),report!#REF!/report!#REF!-1)</f>
        <v>#REF!</v>
      </c>
      <c r="D289" s="2" t="e">
        <f>IF(OR(report!#REF!="",report!#REF!=""),NA(),report!#REF!/report!#REF!-1)</f>
        <v>#REF!</v>
      </c>
      <c r="E289" s="2" t="e">
        <f>IF(OR(report!#REF!="",report!#REF!=""),NA(),report!#REF!/report!#REF!-1)</f>
        <v>#REF!</v>
      </c>
      <c r="F289" s="2" t="e">
        <f>IF(OR(report!#REF!="",report!#REF!=""),NA(),report!#REF!/report!#REF!-1)</f>
        <v>#REF!</v>
      </c>
      <c r="G289" s="2" t="e">
        <f>IF(OR(report!#REF!="",report!#REF!=""),NA(),report!#REF!/report!#REF!-1)</f>
        <v>#REF!</v>
      </c>
      <c r="H289" s="2" t="e">
        <f>IF(OR(report!#REF!="",report!#REF!=""),NA(),report!#REF!/report!#REF!-1)</f>
        <v>#REF!</v>
      </c>
      <c r="I289" s="2" t="e">
        <f>IF(OR(report!#REF!="",report!#REF!=""),NA(),report!#REF!/report!#REF!-1)</f>
        <v>#REF!</v>
      </c>
      <c r="J289" s="2" t="e">
        <f>IF(OR(report!#REF!="",report!#REF!=""),NA(),report!#REF!/report!#REF!-1)</f>
        <v>#REF!</v>
      </c>
      <c r="K289" s="2" t="e">
        <f>IF(OR(report!#REF!="",report!#REF!=""),NA(),report!#REF!/report!#REF!-1)</f>
        <v>#REF!</v>
      </c>
      <c r="L289" s="2" t="e">
        <f>IF(OR(report!#REF!="",report!#REF!=""),NA(),report!#REF!/report!#REF!-1)</f>
        <v>#REF!</v>
      </c>
    </row>
    <row r="290" spans="1:12" x14ac:dyDescent="0.75">
      <c r="A290" s="1" t="e">
        <f>report!#REF!</f>
        <v>#REF!</v>
      </c>
      <c r="B290" s="2" t="e">
        <f>IF(OR(report!#REF!="",report!#REF!=""),NA(),report!#REF!/report!#REF!-1)</f>
        <v>#REF!</v>
      </c>
      <c r="C290" s="2" t="e">
        <f>IF(OR(report!#REF!="",report!#REF!=""),NA(),report!#REF!/report!#REF!-1)</f>
        <v>#REF!</v>
      </c>
      <c r="D290" s="2" t="e">
        <f>IF(OR(report!#REF!="",report!#REF!=""),NA(),report!#REF!/report!#REF!-1)</f>
        <v>#REF!</v>
      </c>
      <c r="E290" s="2" t="e">
        <f>IF(OR(report!#REF!="",report!#REF!=""),NA(),report!#REF!/report!#REF!-1)</f>
        <v>#REF!</v>
      </c>
      <c r="F290" s="2" t="e">
        <f>IF(OR(report!#REF!="",report!#REF!=""),NA(),report!#REF!/report!#REF!-1)</f>
        <v>#REF!</v>
      </c>
      <c r="G290" s="2" t="e">
        <f>IF(OR(report!#REF!="",report!#REF!=""),NA(),report!#REF!/report!#REF!-1)</f>
        <v>#REF!</v>
      </c>
      <c r="H290" s="2" t="e">
        <f>IF(OR(report!#REF!="",report!#REF!=""),NA(),report!#REF!/report!#REF!-1)</f>
        <v>#REF!</v>
      </c>
      <c r="I290" s="2" t="e">
        <f>IF(OR(report!#REF!="",report!#REF!=""),NA(),report!#REF!/report!#REF!-1)</f>
        <v>#REF!</v>
      </c>
      <c r="J290" s="2" t="e">
        <f>IF(OR(report!#REF!="",report!#REF!=""),NA(),report!#REF!/report!#REF!-1)</f>
        <v>#REF!</v>
      </c>
      <c r="K290" s="2" t="e">
        <f>IF(OR(report!#REF!="",report!#REF!=""),NA(),report!#REF!/report!#REF!-1)</f>
        <v>#REF!</v>
      </c>
      <c r="L290" s="2" t="e">
        <f>IF(OR(report!#REF!="",report!#REF!=""),NA(),report!#REF!/report!#REF!-1)</f>
        <v>#REF!</v>
      </c>
    </row>
    <row r="291" spans="1:12" x14ac:dyDescent="0.75">
      <c r="A291" s="1" t="e">
        <f>report!#REF!</f>
        <v>#REF!</v>
      </c>
      <c r="B291" s="2" t="e">
        <f>IF(OR(report!#REF!="",report!#REF!=""),NA(),report!#REF!/report!#REF!-1)</f>
        <v>#REF!</v>
      </c>
      <c r="C291" s="2" t="e">
        <f>IF(OR(report!#REF!="",report!#REF!=""),NA(),report!#REF!/report!#REF!-1)</f>
        <v>#REF!</v>
      </c>
      <c r="D291" s="2" t="e">
        <f>IF(OR(report!#REF!="",report!#REF!=""),NA(),report!#REF!/report!#REF!-1)</f>
        <v>#REF!</v>
      </c>
      <c r="E291" s="2" t="e">
        <f>IF(OR(report!#REF!="",report!#REF!=""),NA(),report!#REF!/report!#REF!-1)</f>
        <v>#REF!</v>
      </c>
      <c r="F291" s="2" t="e">
        <f>IF(OR(report!#REF!="",report!#REF!=""),NA(),report!#REF!/report!#REF!-1)</f>
        <v>#REF!</v>
      </c>
      <c r="G291" s="2" t="e">
        <f>IF(OR(report!#REF!="",report!#REF!=""),NA(),report!#REF!/report!#REF!-1)</f>
        <v>#REF!</v>
      </c>
      <c r="H291" s="2" t="e">
        <f>IF(OR(report!#REF!="",report!#REF!=""),NA(),report!#REF!/report!#REF!-1)</f>
        <v>#REF!</v>
      </c>
      <c r="I291" s="2" t="e">
        <f>IF(OR(report!#REF!="",report!#REF!=""),NA(),report!#REF!/report!#REF!-1)</f>
        <v>#REF!</v>
      </c>
      <c r="J291" s="2" t="e">
        <f>IF(OR(report!#REF!="",report!#REF!=""),NA(),report!#REF!/report!#REF!-1)</f>
        <v>#REF!</v>
      </c>
      <c r="K291" s="2" t="e">
        <f>IF(OR(report!#REF!="",report!#REF!=""),NA(),report!#REF!/report!#REF!-1)</f>
        <v>#REF!</v>
      </c>
      <c r="L291" s="2" t="e">
        <f>IF(OR(report!#REF!="",report!#REF!=""),NA(),report!#REF!/report!#REF!-1)</f>
        <v>#REF!</v>
      </c>
    </row>
    <row r="292" spans="1:12" x14ac:dyDescent="0.75">
      <c r="A292" s="1" t="e">
        <f>report!#REF!</f>
        <v>#REF!</v>
      </c>
      <c r="B292" s="2" t="e">
        <f>IF(OR(report!#REF!="",report!#REF!=""),NA(),report!#REF!/report!#REF!-1)</f>
        <v>#REF!</v>
      </c>
      <c r="C292" s="2" t="e">
        <f>IF(OR(report!#REF!="",report!#REF!=""),NA(),report!#REF!/report!#REF!-1)</f>
        <v>#REF!</v>
      </c>
      <c r="D292" s="2" t="e">
        <f>IF(OR(report!#REF!="",report!#REF!=""),NA(),report!#REF!/report!#REF!-1)</f>
        <v>#REF!</v>
      </c>
      <c r="E292" s="2" t="e">
        <f>IF(OR(report!#REF!="",report!#REF!=""),NA(),report!#REF!/report!#REF!-1)</f>
        <v>#REF!</v>
      </c>
      <c r="F292" s="2" t="e">
        <f>IF(OR(report!#REF!="",report!#REF!=""),NA(),report!#REF!/report!#REF!-1)</f>
        <v>#REF!</v>
      </c>
      <c r="G292" s="2" t="e">
        <f>IF(OR(report!#REF!="",report!#REF!=""),NA(),report!#REF!/report!#REF!-1)</f>
        <v>#REF!</v>
      </c>
      <c r="H292" s="2" t="e">
        <f>IF(OR(report!#REF!="",report!#REF!=""),NA(),report!#REF!/report!#REF!-1)</f>
        <v>#REF!</v>
      </c>
      <c r="I292" s="2" t="e">
        <f>IF(OR(report!#REF!="",report!#REF!=""),NA(),report!#REF!/report!#REF!-1)</f>
        <v>#REF!</v>
      </c>
      <c r="J292" s="2" t="e">
        <f>IF(OR(report!#REF!="",report!#REF!=""),NA(),report!#REF!/report!#REF!-1)</f>
        <v>#REF!</v>
      </c>
      <c r="K292" s="2" t="e">
        <f>IF(OR(report!#REF!="",report!#REF!=""),NA(),report!#REF!/report!#REF!-1)</f>
        <v>#REF!</v>
      </c>
      <c r="L292" s="2" t="e">
        <f>IF(OR(report!#REF!="",report!#REF!=""),NA(),report!#REF!/report!#REF!-1)</f>
        <v>#REF!</v>
      </c>
    </row>
    <row r="293" spans="1:12" x14ac:dyDescent="0.75">
      <c r="A293" s="1" t="e">
        <f>report!#REF!</f>
        <v>#REF!</v>
      </c>
      <c r="B293" s="2" t="e">
        <f>IF(OR(report!#REF!="",report!#REF!=""),NA(),report!#REF!/report!#REF!-1)</f>
        <v>#REF!</v>
      </c>
      <c r="C293" s="2" t="e">
        <f>IF(OR(report!#REF!="",report!#REF!=""),NA(),report!#REF!/report!#REF!-1)</f>
        <v>#REF!</v>
      </c>
      <c r="D293" s="2" t="e">
        <f>IF(OR(report!#REF!="",report!#REF!=""),NA(),report!#REF!/report!#REF!-1)</f>
        <v>#REF!</v>
      </c>
      <c r="E293" s="2" t="e">
        <f>IF(OR(report!#REF!="",report!#REF!=""),NA(),report!#REF!/report!#REF!-1)</f>
        <v>#REF!</v>
      </c>
      <c r="F293" s="2" t="e">
        <f>IF(OR(report!#REF!="",report!#REF!=""),NA(),report!#REF!/report!#REF!-1)</f>
        <v>#REF!</v>
      </c>
      <c r="G293" s="2" t="e">
        <f>IF(OR(report!#REF!="",report!#REF!=""),NA(),report!#REF!/report!#REF!-1)</f>
        <v>#REF!</v>
      </c>
      <c r="H293" s="2" t="e">
        <f>IF(OR(report!#REF!="",report!#REF!=""),NA(),report!#REF!/report!#REF!-1)</f>
        <v>#REF!</v>
      </c>
      <c r="I293" s="2" t="e">
        <f>IF(OR(report!#REF!="",report!#REF!=""),NA(),report!#REF!/report!#REF!-1)</f>
        <v>#REF!</v>
      </c>
      <c r="J293" s="2" t="e">
        <f>IF(OR(report!#REF!="",report!#REF!=""),NA(),report!#REF!/report!#REF!-1)</f>
        <v>#REF!</v>
      </c>
      <c r="K293" s="2" t="e">
        <f>IF(OR(report!#REF!="",report!#REF!=""),NA(),report!#REF!/report!#REF!-1)</f>
        <v>#REF!</v>
      </c>
      <c r="L293" s="2" t="e">
        <f>IF(OR(report!#REF!="",report!#REF!=""),NA(),report!#REF!/report!#REF!-1)</f>
        <v>#REF!</v>
      </c>
    </row>
    <row r="294" spans="1:12" x14ac:dyDescent="0.75">
      <c r="A294" s="1" t="e">
        <f>report!#REF!</f>
        <v>#REF!</v>
      </c>
      <c r="B294" s="2" t="e">
        <f>IF(OR(report!#REF!="",report!#REF!=""),NA(),report!#REF!/report!#REF!-1)</f>
        <v>#REF!</v>
      </c>
      <c r="C294" s="2" t="e">
        <f>IF(OR(report!#REF!="",report!#REF!=""),NA(),report!#REF!/report!#REF!-1)</f>
        <v>#REF!</v>
      </c>
      <c r="D294" s="2" t="e">
        <f>IF(OR(report!#REF!="",report!#REF!=""),NA(),report!#REF!/report!#REF!-1)</f>
        <v>#REF!</v>
      </c>
      <c r="E294" s="2" t="e">
        <f>IF(OR(report!#REF!="",report!#REF!=""),NA(),report!#REF!/report!#REF!-1)</f>
        <v>#REF!</v>
      </c>
      <c r="F294" s="2" t="e">
        <f>IF(OR(report!#REF!="",report!#REF!=""),NA(),report!#REF!/report!#REF!-1)</f>
        <v>#REF!</v>
      </c>
      <c r="G294" s="2" t="e">
        <f>IF(OR(report!#REF!="",report!#REF!=""),NA(),report!#REF!/report!#REF!-1)</f>
        <v>#REF!</v>
      </c>
      <c r="H294" s="2" t="e">
        <f>IF(OR(report!#REF!="",report!#REF!=""),NA(),report!#REF!/report!#REF!-1)</f>
        <v>#REF!</v>
      </c>
      <c r="I294" s="2" t="e">
        <f>IF(OR(report!#REF!="",report!#REF!=""),NA(),report!#REF!/report!#REF!-1)</f>
        <v>#REF!</v>
      </c>
      <c r="J294" s="2" t="e">
        <f>IF(OR(report!#REF!="",report!#REF!=""),NA(),report!#REF!/report!#REF!-1)</f>
        <v>#REF!</v>
      </c>
      <c r="K294" s="2" t="e">
        <f>IF(OR(report!#REF!="",report!#REF!=""),NA(),report!#REF!/report!#REF!-1)</f>
        <v>#REF!</v>
      </c>
      <c r="L294" s="2" t="e">
        <f>IF(OR(report!#REF!="",report!#REF!=""),NA(),report!#REF!/report!#REF!-1)</f>
        <v>#REF!</v>
      </c>
    </row>
    <row r="295" spans="1:12" x14ac:dyDescent="0.75">
      <c r="A295" s="1" t="e">
        <f>report!#REF!</f>
        <v>#REF!</v>
      </c>
      <c r="B295" s="2" t="e">
        <f>IF(OR(report!#REF!="",report!#REF!=""),NA(),report!#REF!/report!#REF!-1)</f>
        <v>#REF!</v>
      </c>
      <c r="C295" s="2" t="e">
        <f>IF(OR(report!#REF!="",report!#REF!=""),NA(),report!#REF!/report!#REF!-1)</f>
        <v>#REF!</v>
      </c>
      <c r="D295" s="2" t="e">
        <f>IF(OR(report!#REF!="",report!#REF!=""),NA(),report!#REF!/report!#REF!-1)</f>
        <v>#REF!</v>
      </c>
      <c r="E295" s="2" t="e">
        <f>IF(OR(report!#REF!="",report!#REF!=""),NA(),report!#REF!/report!#REF!-1)</f>
        <v>#REF!</v>
      </c>
      <c r="F295" s="2" t="e">
        <f>IF(OR(report!#REF!="",report!#REF!=""),NA(),report!#REF!/report!#REF!-1)</f>
        <v>#REF!</v>
      </c>
      <c r="G295" s="2" t="e">
        <f>IF(OR(report!#REF!="",report!#REF!=""),NA(),report!#REF!/report!#REF!-1)</f>
        <v>#REF!</v>
      </c>
      <c r="H295" s="2" t="e">
        <f>IF(OR(report!#REF!="",report!#REF!=""),NA(),report!#REF!/report!#REF!-1)</f>
        <v>#REF!</v>
      </c>
      <c r="I295" s="2" t="e">
        <f>IF(OR(report!#REF!="",report!#REF!=""),NA(),report!#REF!/report!#REF!-1)</f>
        <v>#REF!</v>
      </c>
      <c r="J295" s="2" t="e">
        <f>IF(OR(report!#REF!="",report!#REF!=""),NA(),report!#REF!/report!#REF!-1)</f>
        <v>#REF!</v>
      </c>
      <c r="K295" s="2" t="e">
        <f>IF(OR(report!#REF!="",report!#REF!=""),NA(),report!#REF!/report!#REF!-1)</f>
        <v>#REF!</v>
      </c>
      <c r="L295" s="2" t="e">
        <f>IF(OR(report!#REF!="",report!#REF!=""),NA(),report!#REF!/report!#REF!-1)</f>
        <v>#REF!</v>
      </c>
    </row>
    <row r="296" spans="1:12" x14ac:dyDescent="0.75">
      <c r="A296" s="1" t="e">
        <f>report!#REF!</f>
        <v>#REF!</v>
      </c>
      <c r="B296" s="2" t="e">
        <f>IF(OR(report!#REF!="",report!#REF!=""),NA(),report!#REF!/report!#REF!-1)</f>
        <v>#REF!</v>
      </c>
      <c r="C296" s="2" t="e">
        <f>IF(OR(report!#REF!="",report!#REF!=""),NA(),report!#REF!/report!#REF!-1)</f>
        <v>#REF!</v>
      </c>
      <c r="D296" s="2" t="e">
        <f>IF(OR(report!#REF!="",report!#REF!=""),NA(),report!#REF!/report!#REF!-1)</f>
        <v>#REF!</v>
      </c>
      <c r="E296" s="2" t="e">
        <f>IF(OR(report!#REF!="",report!#REF!=""),NA(),report!#REF!/report!#REF!-1)</f>
        <v>#REF!</v>
      </c>
      <c r="F296" s="2" t="e">
        <f>IF(OR(report!#REF!="",report!#REF!=""),NA(),report!#REF!/report!#REF!-1)</f>
        <v>#REF!</v>
      </c>
      <c r="G296" s="2" t="e">
        <f>IF(OR(report!#REF!="",report!#REF!=""),NA(),report!#REF!/report!#REF!-1)</f>
        <v>#REF!</v>
      </c>
      <c r="H296" s="2" t="e">
        <f>IF(OR(report!#REF!="",report!#REF!=""),NA(),report!#REF!/report!#REF!-1)</f>
        <v>#REF!</v>
      </c>
      <c r="I296" s="2" t="e">
        <f>IF(OR(report!#REF!="",report!#REF!=""),NA(),report!#REF!/report!#REF!-1)</f>
        <v>#REF!</v>
      </c>
      <c r="J296" s="2" t="e">
        <f>IF(OR(report!#REF!="",report!#REF!=""),NA(),report!#REF!/report!#REF!-1)</f>
        <v>#REF!</v>
      </c>
      <c r="K296" s="2" t="e">
        <f>IF(OR(report!#REF!="",report!#REF!=""),NA(),report!#REF!/report!#REF!-1)</f>
        <v>#REF!</v>
      </c>
      <c r="L296" s="2" t="e">
        <f>IF(OR(report!#REF!="",report!#REF!=""),NA(),report!#REF!/report!#REF!-1)</f>
        <v>#REF!</v>
      </c>
    </row>
    <row r="297" spans="1:12" x14ac:dyDescent="0.75">
      <c r="A297" s="1" t="e">
        <f>report!#REF!</f>
        <v>#REF!</v>
      </c>
      <c r="B297" s="2" t="e">
        <f>IF(OR(report!#REF!="",report!#REF!=""),NA(),report!#REF!/report!#REF!-1)</f>
        <v>#REF!</v>
      </c>
      <c r="C297" s="2" t="e">
        <f>IF(OR(report!#REF!="",report!#REF!=""),NA(),report!#REF!/report!#REF!-1)</f>
        <v>#REF!</v>
      </c>
      <c r="D297" s="2" t="e">
        <f>IF(OR(report!#REF!="",report!#REF!=""),NA(),report!#REF!/report!#REF!-1)</f>
        <v>#REF!</v>
      </c>
      <c r="E297" s="2" t="e">
        <f>IF(OR(report!#REF!="",report!#REF!=""),NA(),report!#REF!/report!#REF!-1)</f>
        <v>#REF!</v>
      </c>
      <c r="F297" s="2" t="e">
        <f>IF(OR(report!#REF!="",report!#REF!=""),NA(),report!#REF!/report!#REF!-1)</f>
        <v>#REF!</v>
      </c>
      <c r="G297" s="2" t="e">
        <f>IF(OR(report!#REF!="",report!#REF!=""),NA(),report!#REF!/report!#REF!-1)</f>
        <v>#REF!</v>
      </c>
      <c r="H297" s="2" t="e">
        <f>IF(OR(report!#REF!="",report!#REF!=""),NA(),report!#REF!/report!#REF!-1)</f>
        <v>#REF!</v>
      </c>
      <c r="I297" s="2" t="e">
        <f>IF(OR(report!#REF!="",report!#REF!=""),NA(),report!#REF!/report!#REF!-1)</f>
        <v>#REF!</v>
      </c>
      <c r="J297" s="2" t="e">
        <f>IF(OR(report!#REF!="",report!#REF!=""),NA(),report!#REF!/report!#REF!-1)</f>
        <v>#REF!</v>
      </c>
      <c r="K297" s="2" t="e">
        <f>IF(OR(report!#REF!="",report!#REF!=""),NA(),report!#REF!/report!#REF!-1)</f>
        <v>#REF!</v>
      </c>
      <c r="L297" s="2" t="e">
        <f>IF(OR(report!#REF!="",report!#REF!=""),NA(),report!#REF!/report!#REF!-1)</f>
        <v>#REF!</v>
      </c>
    </row>
    <row r="298" spans="1:12" x14ac:dyDescent="0.75">
      <c r="A298" s="1" t="e">
        <f>report!#REF!</f>
        <v>#REF!</v>
      </c>
      <c r="B298" s="2" t="e">
        <f>IF(OR(report!#REF!="",report!#REF!=""),NA(),report!#REF!/report!#REF!-1)</f>
        <v>#REF!</v>
      </c>
      <c r="C298" s="2" t="e">
        <f>IF(OR(report!#REF!="",report!#REF!=""),NA(),report!#REF!/report!#REF!-1)</f>
        <v>#REF!</v>
      </c>
      <c r="D298" s="2" t="e">
        <f>IF(OR(report!#REF!="",report!#REF!=""),NA(),report!#REF!/report!#REF!-1)</f>
        <v>#REF!</v>
      </c>
      <c r="E298" s="2" t="e">
        <f>IF(OR(report!#REF!="",report!#REF!=""),NA(),report!#REF!/report!#REF!-1)</f>
        <v>#REF!</v>
      </c>
      <c r="F298" s="2" t="e">
        <f>IF(OR(report!#REF!="",report!#REF!=""),NA(),report!#REF!/report!#REF!-1)</f>
        <v>#REF!</v>
      </c>
      <c r="G298" s="2" t="e">
        <f>IF(OR(report!#REF!="",report!#REF!=""),NA(),report!#REF!/report!#REF!-1)</f>
        <v>#REF!</v>
      </c>
      <c r="H298" s="2" t="e">
        <f>IF(OR(report!#REF!="",report!#REF!=""),NA(),report!#REF!/report!#REF!-1)</f>
        <v>#REF!</v>
      </c>
      <c r="I298" s="2" t="e">
        <f>IF(OR(report!#REF!="",report!#REF!=""),NA(),report!#REF!/report!#REF!-1)</f>
        <v>#REF!</v>
      </c>
      <c r="J298" s="2" t="e">
        <f>IF(OR(report!#REF!="",report!#REF!=""),NA(),report!#REF!/report!#REF!-1)</f>
        <v>#REF!</v>
      </c>
      <c r="K298" s="2" t="e">
        <f>IF(OR(report!#REF!="",report!#REF!=""),NA(),report!#REF!/report!#REF!-1)</f>
        <v>#REF!</v>
      </c>
      <c r="L298" s="2" t="e">
        <f>IF(OR(report!#REF!="",report!#REF!=""),NA(),report!#REF!/report!#REF!-1)</f>
        <v>#REF!</v>
      </c>
    </row>
    <row r="299" spans="1:12" x14ac:dyDescent="0.75">
      <c r="A299" s="1" t="e">
        <f>report!#REF!</f>
        <v>#REF!</v>
      </c>
      <c r="B299" s="2" t="e">
        <f>IF(OR(report!#REF!="",report!#REF!=""),NA(),report!#REF!/report!#REF!-1)</f>
        <v>#REF!</v>
      </c>
      <c r="C299" s="2" t="e">
        <f>IF(OR(report!#REF!="",report!#REF!=""),NA(),report!#REF!/report!#REF!-1)</f>
        <v>#REF!</v>
      </c>
      <c r="D299" s="2" t="e">
        <f>IF(OR(report!#REF!="",report!#REF!=""),NA(),report!#REF!/report!#REF!-1)</f>
        <v>#REF!</v>
      </c>
      <c r="E299" s="2" t="e">
        <f>IF(OR(report!#REF!="",report!#REF!=""),NA(),report!#REF!/report!#REF!-1)</f>
        <v>#REF!</v>
      </c>
      <c r="F299" s="2" t="e">
        <f>IF(OR(report!#REF!="",report!#REF!=""),NA(),report!#REF!/report!#REF!-1)</f>
        <v>#REF!</v>
      </c>
      <c r="G299" s="2" t="e">
        <f>IF(OR(report!#REF!="",report!#REF!=""),NA(),report!#REF!/report!#REF!-1)</f>
        <v>#REF!</v>
      </c>
      <c r="H299" s="2" t="e">
        <f>IF(OR(report!#REF!="",report!#REF!=""),NA(),report!#REF!/report!#REF!-1)</f>
        <v>#REF!</v>
      </c>
      <c r="I299" s="2" t="e">
        <f>IF(OR(report!#REF!="",report!#REF!=""),NA(),report!#REF!/report!#REF!-1)</f>
        <v>#REF!</v>
      </c>
      <c r="J299" s="2" t="e">
        <f>IF(OR(report!#REF!="",report!#REF!=""),NA(),report!#REF!/report!#REF!-1)</f>
        <v>#REF!</v>
      </c>
      <c r="K299" s="2" t="e">
        <f>IF(OR(report!#REF!="",report!#REF!=""),NA(),report!#REF!/report!#REF!-1)</f>
        <v>#REF!</v>
      </c>
      <c r="L299" s="2" t="e">
        <f>IF(OR(report!#REF!="",report!#REF!=""),NA(),report!#REF!/report!#REF!-1)</f>
        <v>#REF!</v>
      </c>
    </row>
    <row r="300" spans="1:12" x14ac:dyDescent="0.75">
      <c r="A300" s="1" t="e">
        <f>report!#REF!</f>
        <v>#REF!</v>
      </c>
      <c r="B300" s="2" t="e">
        <f>IF(OR(report!#REF!="",report!#REF!=""),NA(),report!#REF!/report!#REF!-1)</f>
        <v>#REF!</v>
      </c>
      <c r="C300" s="2" t="e">
        <f>IF(OR(report!#REF!="",report!#REF!=""),NA(),report!#REF!/report!#REF!-1)</f>
        <v>#REF!</v>
      </c>
      <c r="D300" s="2" t="e">
        <f>IF(OR(report!#REF!="",report!#REF!=""),NA(),report!#REF!/report!#REF!-1)</f>
        <v>#REF!</v>
      </c>
      <c r="E300" s="2" t="e">
        <f>IF(OR(report!#REF!="",report!#REF!=""),NA(),report!#REF!/report!#REF!-1)</f>
        <v>#REF!</v>
      </c>
      <c r="F300" s="2" t="e">
        <f>IF(OR(report!#REF!="",report!#REF!=""),NA(),report!#REF!/report!#REF!-1)</f>
        <v>#REF!</v>
      </c>
      <c r="G300" s="2" t="e">
        <f>IF(OR(report!#REF!="",report!#REF!=""),NA(),report!#REF!/report!#REF!-1)</f>
        <v>#REF!</v>
      </c>
      <c r="H300" s="2" t="e">
        <f>IF(OR(report!#REF!="",report!#REF!=""),NA(),report!#REF!/report!#REF!-1)</f>
        <v>#REF!</v>
      </c>
      <c r="I300" s="2" t="e">
        <f>IF(OR(report!#REF!="",report!#REF!=""),NA(),report!#REF!/report!#REF!-1)</f>
        <v>#REF!</v>
      </c>
      <c r="J300" s="2" t="e">
        <f>IF(OR(report!#REF!="",report!#REF!=""),NA(),report!#REF!/report!#REF!-1)</f>
        <v>#REF!</v>
      </c>
      <c r="K300" s="2" t="e">
        <f>IF(OR(report!#REF!="",report!#REF!=""),NA(),report!#REF!/report!#REF!-1)</f>
        <v>#REF!</v>
      </c>
      <c r="L300" s="2" t="e">
        <f>IF(OR(report!#REF!="",report!#REF!=""),NA(),report!#REF!/report!#REF!-1)</f>
        <v>#REF!</v>
      </c>
    </row>
    <row r="301" spans="1:12" x14ac:dyDescent="0.75">
      <c r="A301" s="1" t="e">
        <f>report!#REF!</f>
        <v>#REF!</v>
      </c>
      <c r="B301" s="2" t="e">
        <f>IF(OR(report!#REF!="",report!#REF!=""),NA(),report!#REF!/report!#REF!-1)</f>
        <v>#REF!</v>
      </c>
      <c r="C301" s="2" t="e">
        <f>IF(OR(report!#REF!="",report!#REF!=""),NA(),report!#REF!/report!#REF!-1)</f>
        <v>#REF!</v>
      </c>
      <c r="D301" s="2" t="e">
        <f>IF(OR(report!#REF!="",report!#REF!=""),NA(),report!#REF!/report!#REF!-1)</f>
        <v>#REF!</v>
      </c>
      <c r="E301" s="2" t="e">
        <f>IF(OR(report!#REF!="",report!#REF!=""),NA(),report!#REF!/report!#REF!-1)</f>
        <v>#REF!</v>
      </c>
      <c r="F301" s="2" t="e">
        <f>IF(OR(report!#REF!="",report!#REF!=""),NA(),report!#REF!/report!#REF!-1)</f>
        <v>#REF!</v>
      </c>
      <c r="G301" s="2" t="e">
        <f>IF(OR(report!#REF!="",report!#REF!=""),NA(),report!#REF!/report!#REF!-1)</f>
        <v>#REF!</v>
      </c>
      <c r="H301" s="2" t="e">
        <f>IF(OR(report!#REF!="",report!#REF!=""),NA(),report!#REF!/report!#REF!-1)</f>
        <v>#REF!</v>
      </c>
      <c r="I301" s="2" t="e">
        <f>IF(OR(report!#REF!="",report!#REF!=""),NA(),report!#REF!/report!#REF!-1)</f>
        <v>#REF!</v>
      </c>
      <c r="J301" s="2" t="e">
        <f>IF(OR(report!#REF!="",report!#REF!=""),NA(),report!#REF!/report!#REF!-1)</f>
        <v>#REF!</v>
      </c>
      <c r="K301" s="2" t="e">
        <f>IF(OR(report!#REF!="",report!#REF!=""),NA(),report!#REF!/report!#REF!-1)</f>
        <v>#REF!</v>
      </c>
      <c r="L301" s="2" t="e">
        <f>IF(OR(report!#REF!="",report!#REF!=""),NA(),report!#REF!/report!#REF!-1)</f>
        <v>#REF!</v>
      </c>
    </row>
    <row r="302" spans="1:12" x14ac:dyDescent="0.75">
      <c r="A302" s="1" t="e">
        <f>report!#REF!</f>
        <v>#REF!</v>
      </c>
      <c r="B302" s="2" t="e">
        <f>IF(OR(report!#REF!="",report!#REF!=""),NA(),report!#REF!/report!#REF!-1)</f>
        <v>#REF!</v>
      </c>
      <c r="C302" s="2" t="e">
        <f>IF(OR(report!#REF!="",report!#REF!=""),NA(),report!#REF!/report!#REF!-1)</f>
        <v>#REF!</v>
      </c>
      <c r="D302" s="2" t="e">
        <f>IF(OR(report!#REF!="",report!#REF!=""),NA(),report!#REF!/report!#REF!-1)</f>
        <v>#REF!</v>
      </c>
      <c r="E302" s="2" t="e">
        <f>IF(OR(report!#REF!="",report!#REF!=""),NA(),report!#REF!/report!#REF!-1)</f>
        <v>#REF!</v>
      </c>
      <c r="F302" s="2" t="e">
        <f>IF(OR(report!#REF!="",report!#REF!=""),NA(),report!#REF!/report!#REF!-1)</f>
        <v>#REF!</v>
      </c>
      <c r="G302" s="2" t="e">
        <f>IF(OR(report!#REF!="",report!#REF!=""),NA(),report!#REF!/report!#REF!-1)</f>
        <v>#REF!</v>
      </c>
      <c r="H302" s="2" t="e">
        <f>IF(OR(report!#REF!="",report!#REF!=""),NA(),report!#REF!/report!#REF!-1)</f>
        <v>#REF!</v>
      </c>
      <c r="I302" s="2" t="e">
        <f>IF(OR(report!#REF!="",report!#REF!=""),NA(),report!#REF!/report!#REF!-1)</f>
        <v>#REF!</v>
      </c>
      <c r="J302" s="2" t="e">
        <f>IF(OR(report!#REF!="",report!#REF!=""),NA(),report!#REF!/report!#REF!-1)</f>
        <v>#REF!</v>
      </c>
      <c r="K302" s="2" t="e">
        <f>IF(OR(report!#REF!="",report!#REF!=""),NA(),report!#REF!/report!#REF!-1)</f>
        <v>#REF!</v>
      </c>
      <c r="L302" s="2" t="e">
        <f>IF(OR(report!#REF!="",report!#REF!=""),NA(),report!#REF!/report!#REF!-1)</f>
        <v>#REF!</v>
      </c>
    </row>
    <row r="303" spans="1:12" x14ac:dyDescent="0.75">
      <c r="A303" s="1" t="e">
        <f>report!#REF!</f>
        <v>#REF!</v>
      </c>
      <c r="B303" s="2" t="e">
        <f>IF(OR(report!#REF!="",report!#REF!=""),NA(),report!#REF!/report!#REF!-1)</f>
        <v>#REF!</v>
      </c>
      <c r="C303" s="2" t="e">
        <f>IF(OR(report!#REF!="",report!#REF!=""),NA(),report!#REF!/report!#REF!-1)</f>
        <v>#REF!</v>
      </c>
      <c r="D303" s="2" t="e">
        <f>IF(OR(report!#REF!="",report!#REF!=""),NA(),report!#REF!/report!#REF!-1)</f>
        <v>#REF!</v>
      </c>
      <c r="E303" s="2" t="e">
        <f>IF(OR(report!#REF!="",report!#REF!=""),NA(),report!#REF!/report!#REF!-1)</f>
        <v>#REF!</v>
      </c>
      <c r="F303" s="2" t="e">
        <f>IF(OR(report!#REF!="",report!#REF!=""),NA(),report!#REF!/report!#REF!-1)</f>
        <v>#REF!</v>
      </c>
      <c r="G303" s="2" t="e">
        <f>IF(OR(report!#REF!="",report!#REF!=""),NA(),report!#REF!/report!#REF!-1)</f>
        <v>#REF!</v>
      </c>
      <c r="H303" s="2" t="e">
        <f>IF(OR(report!#REF!="",report!#REF!=""),NA(),report!#REF!/report!#REF!-1)</f>
        <v>#REF!</v>
      </c>
      <c r="I303" s="2" t="e">
        <f>IF(OR(report!#REF!="",report!#REF!=""),NA(),report!#REF!/report!#REF!-1)</f>
        <v>#REF!</v>
      </c>
      <c r="J303" s="2" t="e">
        <f>IF(OR(report!#REF!="",report!#REF!=""),NA(),report!#REF!/report!#REF!-1)</f>
        <v>#REF!</v>
      </c>
      <c r="K303" s="2" t="e">
        <f>IF(OR(report!#REF!="",report!#REF!=""),NA(),report!#REF!/report!#REF!-1)</f>
        <v>#REF!</v>
      </c>
      <c r="L303" s="2" t="e">
        <f>IF(OR(report!#REF!="",report!#REF!=""),NA(),report!#REF!/report!#REF!-1)</f>
        <v>#REF!</v>
      </c>
    </row>
    <row r="304" spans="1:12" x14ac:dyDescent="0.75">
      <c r="A304" s="1" t="e">
        <f>report!#REF!</f>
        <v>#REF!</v>
      </c>
      <c r="B304" s="2" t="e">
        <f>NA()</f>
        <v>#N/A</v>
      </c>
      <c r="C304" s="2" t="e">
        <f>NA()</f>
        <v>#N/A</v>
      </c>
      <c r="D304" s="2" t="e">
        <f>NA()</f>
        <v>#N/A</v>
      </c>
      <c r="E304" s="2" t="e">
        <f>NA()</f>
        <v>#N/A</v>
      </c>
      <c r="F304" s="2" t="e">
        <f>NA()</f>
        <v>#N/A</v>
      </c>
      <c r="G304" s="2" t="e">
        <f>NA()</f>
        <v>#N/A</v>
      </c>
      <c r="H304" s="2" t="e">
        <f>NA()</f>
        <v>#N/A</v>
      </c>
      <c r="I304" s="2" t="e">
        <f>NA()</f>
        <v>#N/A</v>
      </c>
      <c r="J304" s="2" t="e">
        <f>NA()</f>
        <v>#N/A</v>
      </c>
      <c r="K304" s="2" t="e">
        <f>NA()</f>
        <v>#N/A</v>
      </c>
      <c r="L304" s="2" t="e">
        <f>NA()</f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C2E2-A976-4429-9CC0-CDA838BF653C}">
  <dimension ref="A1"/>
  <sheetViews>
    <sheetView topLeftCell="A31" workbookViewId="0">
      <selection activeCell="T23" sqref="T23"/>
    </sheetView>
  </sheetViews>
  <sheetFormatPr baseColWidth="10" defaultColWidth="8.7265625" defaultRowHeight="14.75" x14ac:dyDescent="0.7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57B75-3545-41E5-8DDD-8B8444B607CD}">
  <dimension ref="A1:L22"/>
  <sheetViews>
    <sheetView zoomScale="90" zoomScaleNormal="90" workbookViewId="0">
      <pane ySplit="1" topLeftCell="A2" activePane="bottomLeft" state="frozen"/>
      <selection pane="bottomLeft" activeCell="I21" sqref="I21"/>
    </sheetView>
  </sheetViews>
  <sheetFormatPr baseColWidth="10" defaultColWidth="8.7265625" defaultRowHeight="14.75" x14ac:dyDescent="0.75"/>
  <cols>
    <col min="1" max="1" width="22.2265625" bestFit="1" customWidth="1"/>
    <col min="2" max="2" width="11.08984375" bestFit="1" customWidth="1"/>
    <col min="3" max="3" width="10.6796875" bestFit="1" customWidth="1"/>
    <col min="4" max="4" width="10" bestFit="1" customWidth="1"/>
    <col min="5" max="5" width="9.54296875" bestFit="1" customWidth="1"/>
    <col min="6" max="6" width="15.54296875" bestFit="1" customWidth="1"/>
    <col min="7" max="7" width="5.2265625" bestFit="1" customWidth="1"/>
    <col min="8" max="8" width="16.453125" bestFit="1" customWidth="1"/>
    <col min="9" max="9" width="16" customWidth="1"/>
    <col min="10" max="10" width="17.54296875" customWidth="1"/>
    <col min="11" max="11" width="13" customWidth="1"/>
    <col min="12" max="12" width="12.86328125" customWidth="1"/>
  </cols>
  <sheetData>
    <row r="1" spans="1:12" ht="44.25" x14ac:dyDescent="0.75">
      <c r="A1" s="4" t="s">
        <v>12</v>
      </c>
      <c r="B1" s="13" t="s">
        <v>13</v>
      </c>
      <c r="C1" s="13" t="s">
        <v>14</v>
      </c>
      <c r="D1" s="13" t="s">
        <v>15</v>
      </c>
      <c r="E1" s="13" t="s">
        <v>16</v>
      </c>
      <c r="F1" s="13" t="s">
        <v>17</v>
      </c>
      <c r="G1" s="13" t="s">
        <v>18</v>
      </c>
      <c r="H1" s="13" t="s">
        <v>19</v>
      </c>
      <c r="I1" s="13" t="s">
        <v>20</v>
      </c>
      <c r="J1" s="11" t="s">
        <v>21</v>
      </c>
      <c r="K1" s="11" t="s">
        <v>22</v>
      </c>
      <c r="L1" s="11" t="s">
        <v>23</v>
      </c>
    </row>
    <row r="2" spans="1:12" x14ac:dyDescent="0.75">
      <c r="A2" s="5" t="str" cm="1">
        <f t="array" ref="A2:A22">TRANSPOSE(report!B1:V1)</f>
        <v>BIMBOA</v>
      </c>
      <c r="B2" s="6" cm="1">
        <f t="array" ref="B2">_xlfn.LET(_xlpm.v,INDEX(report!$B$2:$V$247,0,ROW()-1),_xlfn.XLOOKUP(TRUE,ISNUMBER(_xlpm.v),report!$A$2:$A$247,NA(),0,-1))</f>
        <v>46209.041250000002</v>
      </c>
      <c r="C2" s="7" cm="1">
        <f t="array" ref="C2">_xlfn.LET(_xlpm.v,INDEX(report!$B$2:$V$247,0,ROW()-1),_xlfn.XLOOKUP(TRUE,ISNUMBER(_xlpm.v),_xlpm.v,NA(),0,-1))</f>
        <v>57.04</v>
      </c>
      <c r="D2" s="6" cm="1">
        <f t="array" ref="D2">_xlfn.LET(_xlpm.v,INDEX(report!$B$2:$V$247,0,ROW()-1),_xlfn.XLOOKUP(TRUE,ISNUMBER(_xlpm.v),report!$A$2:$A$247,NA(),0,1))</f>
        <v>38776.041250000002</v>
      </c>
      <c r="E2" s="7" cm="1">
        <f t="array" ref="E2">_xlfn.LET(_xlpm.v,INDEX(report!$B$2:$V$247,0,ROW()-1),_xlfn.XLOOKUP(TRUE,ISNUMBER(_xlpm.v),_xlpm.v,NA(),0,1))</f>
        <v>9.2799999999999994</v>
      </c>
      <c r="F2" s="8">
        <f t="shared" ref="F2:F12" si="0">E2/C2-1</f>
        <v>-0.83730715287517532</v>
      </c>
      <c r="G2" s="9">
        <f t="shared" ref="G2:G12" si="1">(D2-B2)/365.25</f>
        <v>-20.350444900752908</v>
      </c>
      <c r="H2" s="10">
        <f t="shared" ref="H2:H12" si="2">(E2/C2)^(1/G2)-1</f>
        <v>9.3333223677127819E-2</v>
      </c>
      <c r="I2" s="10">
        <f t="shared" ref="I2:I12" si="3">(1+H2)^(1/12)-1</f>
        <v>7.46363455493948E-3</v>
      </c>
      <c r="J2" s="10">
        <f>_xlfn.AGGREGATE(1,6,INDEX(Crecimiento!$B$2:$L$304,0,ROW()-1))</f>
        <v>-5.2269243245050851E-3</v>
      </c>
      <c r="K2" s="10">
        <f>_xlfn.AGGREGATE(7,6,INDEX(Crecimiento!$B$2:$L$304,0,ROW()-1))</f>
        <v>6.5739410178006955E-2</v>
      </c>
      <c r="L2" s="12">
        <f>_xlfn.AGGREGATE(10,6,INDEX(Crecimiento!$B$2:$L$304,0,ROW()-1))</f>
        <v>4.3216700505522435E-3</v>
      </c>
    </row>
    <row r="3" spans="1:12" x14ac:dyDescent="0.75">
      <c r="A3" s="5">
        <v>0</v>
      </c>
      <c r="B3" s="6" cm="1">
        <f t="array" ref="B3">_xlfn.LET(_xlpm.v,INDEX(report!$B$2:$V$247,0,ROW()-1),_xlfn.XLOOKUP(TRUE,ISNUMBER(_xlpm.v),report!$A$2:$A$247,NA(),0,-1))</f>
        <v>46203.041250000002</v>
      </c>
      <c r="C3" s="7" cm="1">
        <f t="array" ref="C3">_xlfn.LET(_xlpm.v,INDEX(report!$B$2:$V$247,0,ROW()-1),_xlfn.XLOOKUP(TRUE,ISNUMBER(_xlpm.v),_xlpm.v,NA(),0,-1))</f>
        <v>-4.2553191489361653E-2</v>
      </c>
      <c r="D3" s="6" cm="1">
        <f t="array" ref="D3">_xlfn.LET(_xlpm.v,INDEX(report!$B$2:$V$247,0,ROW()-1),_xlfn.XLOOKUP(TRUE,ISNUMBER(_xlpm.v),report!$A$2:$A$247,NA(),0,1))</f>
        <v>38807.041250000002</v>
      </c>
      <c r="E3" s="7" cm="1">
        <f t="array" ref="E3">_xlfn.LET(_xlpm.v,INDEX(report!$B$2:$V$247,0,ROW()-1),_xlfn.XLOOKUP(TRUE,ISNUMBER(_xlpm.v),_xlpm.v,NA(),0,1))</f>
        <v>-3.7715517241379226E-2</v>
      </c>
      <c r="F3" s="8">
        <f t="shared" si="0"/>
        <v>-0.11368534482758719</v>
      </c>
      <c r="G3" s="9">
        <f t="shared" si="1"/>
        <v>-20.249144421629023</v>
      </c>
      <c r="H3" s="10">
        <f t="shared" si="2"/>
        <v>5.9777141352874708E-3</v>
      </c>
      <c r="I3" s="10">
        <f t="shared" si="3"/>
        <v>4.9678322969759492E-4</v>
      </c>
      <c r="J3" s="10">
        <f>_xlfn.AGGREGATE(1,6,INDEX(Crecimiento!$B$2:$L$304,0,ROW()-1))</f>
        <v>7.0437786922499766E-3</v>
      </c>
      <c r="K3" s="10">
        <f>_xlfn.AGGREGATE(7,6,INDEX(Crecimiento!$B$2:$L$304,0,ROW()-1))</f>
        <v>0.12381579017489368</v>
      </c>
      <c r="L3" s="12">
        <f>_xlfn.AGGREGATE(10,6,INDEX(Crecimiento!$B$2:$L$304,0,ROW()-1))</f>
        <v>1.5330349896633297E-2</v>
      </c>
    </row>
    <row r="4" spans="1:12" x14ac:dyDescent="0.75">
      <c r="A4" s="5" t="str">
        <v>CEMEX</v>
      </c>
      <c r="B4" s="6" cm="1">
        <f t="array" ref="B4">_xlfn.LET(_xlpm.v,INDEX(report!$B$2:$V$247,0,ROW()-1),_xlfn.XLOOKUP(TRUE,ISNUMBER(_xlpm.v),report!$A$2:$A$247,NA(),0,-1))</f>
        <v>46209.041250000002</v>
      </c>
      <c r="C4" s="7" cm="1">
        <f t="array" ref="C4">_xlfn.LET(_xlpm.v,INDEX(report!$B$2:$V$247,0,ROW()-1),_xlfn.XLOOKUP(TRUE,ISNUMBER(_xlpm.v),_xlpm.v,NA(),0,-1))</f>
        <v>21.41</v>
      </c>
      <c r="D4" s="6" cm="1">
        <f t="array" ref="D4">_xlfn.LET(_xlpm.v,INDEX(report!$B$2:$V$247,0,ROW()-1),_xlfn.XLOOKUP(TRUE,ISNUMBER(_xlpm.v),report!$A$2:$A$247,NA(),0,1))</f>
        <v>38776.041250000002</v>
      </c>
      <c r="E4" s="7" cm="1">
        <f t="array" ref="E4">_xlfn.LET(_xlpm.v,INDEX(report!$B$2:$V$247,0,ROW()-1),_xlfn.XLOOKUP(TRUE,ISNUMBER(_xlpm.v),_xlpm.v,NA(),0,1))</f>
        <v>22.8</v>
      </c>
      <c r="F4" s="8">
        <f t="shared" si="0"/>
        <v>6.4922933208781064E-2</v>
      </c>
      <c r="G4" s="9">
        <f t="shared" si="1"/>
        <v>-20.350444900752908</v>
      </c>
      <c r="H4" s="10">
        <f t="shared" si="2"/>
        <v>-3.0861889881432791E-3</v>
      </c>
      <c r="I4" s="10">
        <f t="shared" si="3"/>
        <v>-2.5754691995605317E-4</v>
      </c>
      <c r="J4" s="10">
        <f>_xlfn.AGGREGATE(1,6,INDEX(Crecimiento!$B$2:$L$304,0,ROW()-1))</f>
        <v>-6.9213853519600466E-3</v>
      </c>
      <c r="K4" s="10">
        <f>_xlfn.AGGREGATE(7,6,INDEX(Crecimiento!$B$2:$L$304,0,ROW()-1))</f>
        <v>6.3970565791805989E-2</v>
      </c>
      <c r="L4" s="12">
        <f>_xlfn.AGGREGATE(10,6,INDEX(Crecimiento!$B$2:$L$304,0,ROW()-1))</f>
        <v>4.0922332877237786E-3</v>
      </c>
    </row>
    <row r="5" spans="1:12" x14ac:dyDescent="0.75">
      <c r="A5" s="5">
        <v>0</v>
      </c>
      <c r="B5" s="6" cm="1">
        <f t="array" ref="B5">_xlfn.LET(_xlpm.v,INDEX(report!$B$2:$V$247,0,ROW()-1),_xlfn.XLOOKUP(TRUE,ISNUMBER(_xlpm.v),report!$A$2:$A$247,NA(),0,-1))</f>
        <v>46203.041250000002</v>
      </c>
      <c r="C5" s="7" cm="1">
        <f t="array" ref="C5">_xlfn.LET(_xlpm.v,INDEX(report!$B$2:$V$247,0,ROW()-1),_xlfn.XLOOKUP(TRUE,ISNUMBER(_xlpm.v),_xlpm.v,NA(),0,-1))</f>
        <v>-8.0157687253613608E-2</v>
      </c>
      <c r="D5" s="6" cm="1">
        <f t="array" ref="D5">_xlfn.LET(_xlpm.v,INDEX(report!$B$2:$V$247,0,ROW()-1),_xlfn.XLOOKUP(TRUE,ISNUMBER(_xlpm.v),report!$A$2:$A$247,NA(),0,1))</f>
        <v>38807.041250000002</v>
      </c>
      <c r="E5" s="7" cm="1">
        <f t="array" ref="E5">_xlfn.LET(_xlpm.v,INDEX(report!$B$2:$V$247,0,ROW()-1),_xlfn.XLOOKUP(TRUE,ISNUMBER(_xlpm.v),_xlpm.v,NA(),0,1))</f>
        <v>9.2543859649122817E-2</v>
      </c>
      <c r="F5" s="8">
        <f t="shared" si="0"/>
        <v>-2.1545225769341396</v>
      </c>
      <c r="G5" s="9">
        <f t="shared" si="1"/>
        <v>-20.249144421629023</v>
      </c>
      <c r="H5" s="10" t="e">
        <f t="shared" si="2"/>
        <v>#NUM!</v>
      </c>
      <c r="I5" s="10" t="e">
        <f t="shared" si="3"/>
        <v>#NUM!</v>
      </c>
      <c r="J5" s="10">
        <f>_xlfn.AGGREGATE(1,6,INDEX(Crecimiento!$B$2:$L$304,0,ROW()-1))</f>
        <v>-8.0486827752773039E-3</v>
      </c>
      <c r="K5" s="10">
        <f>_xlfn.AGGREGATE(7,6,INDEX(Crecimiento!$B$2:$L$304,0,ROW()-1))</f>
        <v>9.0278555422190765E-2</v>
      </c>
      <c r="L5" s="12">
        <f>_xlfn.AGGREGATE(10,6,INDEX(Crecimiento!$B$2:$L$304,0,ROW()-1))</f>
        <v>8.1502175691175703E-3</v>
      </c>
    </row>
    <row r="6" spans="1:12" x14ac:dyDescent="0.75">
      <c r="A6" s="5" t="str">
        <v>FEMSA</v>
      </c>
      <c r="B6" s="6" cm="1">
        <f t="array" ref="B6">_xlfn.LET(_xlpm.v,INDEX(report!$B$2:$V$247,0,ROW()-1),_xlfn.XLOOKUP(TRUE,ISNUMBER(_xlpm.v),report!$A$2:$A$247,NA(),0,-1))</f>
        <v>46209.041250000002</v>
      </c>
      <c r="C6" s="7" cm="1">
        <f t="array" ref="C6">_xlfn.LET(_xlpm.v,INDEX(report!$B$2:$V$247,0,ROW()-1),_xlfn.XLOOKUP(TRUE,ISNUMBER(_xlpm.v),_xlpm.v,NA(),0,-1))</f>
        <v>167</v>
      </c>
      <c r="D6" s="6" cm="1">
        <f t="array" ref="D6">_xlfn.LET(_xlpm.v,INDEX(report!$B$2:$V$247,0,ROW()-1),_xlfn.XLOOKUP(TRUE,ISNUMBER(_xlpm.v),report!$A$2:$A$247,NA(),0,1))</f>
        <v>38776.041250000002</v>
      </c>
      <c r="E6" s="7" cm="1">
        <f t="array" ref="E6">_xlfn.LET(_xlpm.v,INDEX(report!$B$2:$V$247,0,ROW()-1),_xlfn.XLOOKUP(TRUE,ISNUMBER(_xlpm.v),_xlpm.v,NA(),0,1))</f>
        <v>18.333333</v>
      </c>
      <c r="F6" s="8">
        <f t="shared" si="0"/>
        <v>-0.89021956287425152</v>
      </c>
      <c r="G6" s="9">
        <f t="shared" si="1"/>
        <v>-20.350444900752908</v>
      </c>
      <c r="H6" s="10">
        <f t="shared" si="2"/>
        <v>0.1146733553222048</v>
      </c>
      <c r="I6" s="10">
        <f t="shared" si="3"/>
        <v>9.0878297609731096E-3</v>
      </c>
      <c r="J6" s="10">
        <f>_xlfn.AGGREGATE(1,6,INDEX(Crecimiento!$B$2:$L$304,0,ROW()-1))</f>
        <v>-4.0563706966753729E-3</v>
      </c>
      <c r="K6" s="10">
        <f>_xlfn.AGGREGATE(7,6,INDEX(Crecimiento!$B$2:$L$304,0,ROW()-1))</f>
        <v>9.3299020344782962E-2</v>
      </c>
      <c r="L6" s="12">
        <f>_xlfn.AGGREGATE(10,6,INDEX(Crecimiento!$B$2:$L$304,0,ROW()-1))</f>
        <v>8.7047071972962253E-3</v>
      </c>
    </row>
    <row r="7" spans="1:12" x14ac:dyDescent="0.75">
      <c r="A7" s="5">
        <v>0</v>
      </c>
      <c r="B7" s="6" cm="1">
        <f t="array" ref="B7">_xlfn.LET(_xlpm.v,INDEX(report!$B$2:$V$247,0,ROW()-1),_xlfn.XLOOKUP(TRUE,ISNUMBER(_xlpm.v),report!$A$2:$A$247,NA(),0,-1))</f>
        <v>46203.041250000002</v>
      </c>
      <c r="C7" s="7" cm="1">
        <f t="array" ref="C7">_xlfn.LET(_xlpm.v,INDEX(report!$B$2:$V$247,0,ROW()-1),_xlfn.XLOOKUP(TRUE,ISNUMBER(_xlpm.v),_xlpm.v,NA(),0,-1))</f>
        <v>0</v>
      </c>
      <c r="D7" s="6" cm="1">
        <f t="array" ref="D7">_xlfn.LET(_xlpm.v,INDEX(report!$B$2:$V$247,0,ROW()-1),_xlfn.XLOOKUP(TRUE,ISNUMBER(_xlpm.v),report!$A$2:$A$247,NA(),0,1))</f>
        <v>38807.041250000002</v>
      </c>
      <c r="E7" s="7" cm="1">
        <f t="array" ref="E7">_xlfn.LET(_xlpm.v,INDEX(report!$B$2:$V$247,0,ROW()-1),_xlfn.XLOOKUP(TRUE,ISNUMBER(_xlpm.v),_xlpm.v,NA(),0,1))</f>
        <v>-0.14545451173553658</v>
      </c>
      <c r="F7" s="8" t="e">
        <f t="shared" si="0"/>
        <v>#DIV/0!</v>
      </c>
      <c r="G7" s="9">
        <f t="shared" si="1"/>
        <v>-20.249144421629023</v>
      </c>
      <c r="H7" s="10" t="e">
        <f t="shared" si="2"/>
        <v>#DIV/0!</v>
      </c>
      <c r="I7" s="10" t="e">
        <f t="shared" si="3"/>
        <v>#DIV/0!</v>
      </c>
      <c r="J7" s="10">
        <f>_xlfn.AGGREGATE(1,6,INDEX(Crecimiento!$B$2:$L$304,0,ROW()-1))</f>
        <v>-1.6464216627939277E-3</v>
      </c>
      <c r="K7" s="10">
        <f>_xlfn.AGGREGATE(7,6,INDEX(Crecimiento!$B$2:$L$304,0,ROW()-1))</f>
        <v>0.13902313662802285</v>
      </c>
      <c r="L7" s="12">
        <f>_xlfn.AGGREGATE(10,6,INDEX(Crecimiento!$B$2:$L$304,0,ROW()-1))</f>
        <v>1.9327432517893907E-2</v>
      </c>
    </row>
    <row r="8" spans="1:12" x14ac:dyDescent="0.75">
      <c r="A8" s="5" t="str">
        <v>GRUPO AEROPORTUARIO</v>
      </c>
      <c r="B8" s="6" cm="1">
        <f t="array" ref="B8">_xlfn.LET(_xlpm.v,INDEX(report!$B$2:$V$247,0,ROW()-1),_xlfn.XLOOKUP(TRUE,ISNUMBER(_xlpm.v),report!$A$2:$A$247,NA(),0,-1))</f>
        <v>46209.041250000002</v>
      </c>
      <c r="C8" s="7" cm="1">
        <f t="array" ref="C8">_xlfn.LET(_xlpm.v,INDEX(report!$B$2:$V$247,0,ROW()-1),_xlfn.XLOOKUP(TRUE,ISNUMBER(_xlpm.v),_xlpm.v,NA(),0,-1))</f>
        <v>441.9</v>
      </c>
      <c r="D8" s="6" cm="1">
        <f t="array" ref="D8">_xlfn.LET(_xlpm.v,INDEX(report!$B$2:$V$247,0,ROW()-1),_xlfn.XLOOKUP(TRUE,ISNUMBER(_xlpm.v),report!$A$2:$A$247,NA(),0,1))</f>
        <v>38776.041250000002</v>
      </c>
      <c r="E8" s="7" cm="1">
        <f t="array" ref="E8">_xlfn.LET(_xlpm.v,INDEX(report!$B$2:$V$247,0,ROW()-1),_xlfn.XLOOKUP(TRUE,ISNUMBER(_xlpm.v),_xlpm.v,NA(),0,1))</f>
        <v>24.199211999999999</v>
      </c>
      <c r="F8" s="8">
        <f t="shared" si="0"/>
        <v>-0.94523826205023764</v>
      </c>
      <c r="G8" s="9">
        <f t="shared" si="1"/>
        <v>-20.350444900752908</v>
      </c>
      <c r="H8" s="10">
        <f t="shared" si="2"/>
        <v>0.15342652895228026</v>
      </c>
      <c r="I8" s="10">
        <f t="shared" si="3"/>
        <v>1.1965782514327117E-2</v>
      </c>
      <c r="J8" s="10">
        <f>_xlfn.AGGREGATE(1,6,INDEX(Crecimiento!$B$2:$L$304,0,ROW()-1))</f>
        <v>-5.586721790801729E-3</v>
      </c>
      <c r="K8" s="10">
        <f>_xlfn.AGGREGATE(7,6,INDEX(Crecimiento!$B$2:$L$304,0,ROW()-1))</f>
        <v>6.9379576451228817E-2</v>
      </c>
      <c r="L8" s="12">
        <f>_xlfn.AGGREGATE(10,6,INDEX(Crecimiento!$B$2:$L$304,0,ROW()-1))</f>
        <v>4.813525628551904E-3</v>
      </c>
    </row>
    <row r="9" spans="1:12" x14ac:dyDescent="0.75">
      <c r="A9" s="5">
        <v>0</v>
      </c>
      <c r="B9" s="6" cm="1">
        <f t="array" ref="B9">_xlfn.LET(_xlpm.v,INDEX(report!$B$2:$V$247,0,ROW()-1),_xlfn.XLOOKUP(TRUE,ISNUMBER(_xlpm.v),report!$A$2:$A$247,NA(),0,-1))</f>
        <v>46203.041250000002</v>
      </c>
      <c r="C9" s="7" cm="1">
        <f t="array" ref="C9">_xlfn.LET(_xlpm.v,INDEX(report!$B$2:$V$247,0,ROW()-1),_xlfn.XLOOKUP(TRUE,ISNUMBER(_xlpm.v),_xlpm.v,NA(),0,-1))</f>
        <v>8.3121081504702099E-2</v>
      </c>
      <c r="D9" s="6" cm="1">
        <f t="array" ref="D9">_xlfn.LET(_xlpm.v,INDEX(report!$B$2:$V$247,0,ROW()-1),_xlfn.XLOOKUP(TRUE,ISNUMBER(_xlpm.v),report!$A$2:$A$247,NA(),0,1))</f>
        <v>38807.041250000002</v>
      </c>
      <c r="E9" s="7" cm="1">
        <f t="array" ref="E9">_xlfn.LET(_xlpm.v,INDEX(report!$B$2:$V$247,0,ROW()-1),_xlfn.XLOOKUP(TRUE,ISNUMBER(_xlpm.v),_xlpm.v,NA(),0,1))</f>
        <v>0.15717615102508309</v>
      </c>
      <c r="F9" s="8">
        <f t="shared" si="0"/>
        <v>0.89093005263883329</v>
      </c>
      <c r="G9" s="9">
        <f t="shared" si="1"/>
        <v>-20.249144421629023</v>
      </c>
      <c r="H9" s="10">
        <f t="shared" si="2"/>
        <v>-3.0971753050276885E-2</v>
      </c>
      <c r="I9" s="10">
        <f t="shared" si="3"/>
        <v>-2.6183591769596282E-3</v>
      </c>
      <c r="J9" s="10">
        <f>_xlfn.AGGREGATE(1,6,INDEX(Crecimiento!$B$2:$L$304,0,ROW()-1))</f>
        <v>-3.5029502824631196E-3</v>
      </c>
      <c r="K9" s="10">
        <f>_xlfn.AGGREGATE(7,6,INDEX(Crecimiento!$B$2:$L$304,0,ROW()-1))</f>
        <v>5.9266434589961545E-2</v>
      </c>
      <c r="L9" s="12">
        <f>_xlfn.AGGREGATE(10,6,INDEX(Crecimiento!$B$2:$L$304,0,ROW()-1))</f>
        <v>3.5125102690061901E-3</v>
      </c>
    </row>
    <row r="10" spans="1:12" x14ac:dyDescent="0.75">
      <c r="A10" s="5" t="str">
        <v>BANORTE</v>
      </c>
      <c r="B10" s="6" cm="1">
        <f t="array" ref="B10">_xlfn.LET(_xlpm.v,INDEX(report!$B$2:$V$247,0,ROW()-1),_xlfn.XLOOKUP(TRUE,ISNUMBER(_xlpm.v),report!$A$2:$A$247,NA(),0,-1))</f>
        <v>46209.041250000002</v>
      </c>
      <c r="C10" s="7" cm="1">
        <f t="array" ref="C10">_xlfn.LET(_xlpm.v,INDEX(report!$B$2:$V$247,0,ROW()-1),_xlfn.XLOOKUP(TRUE,ISNUMBER(_xlpm.v),_xlpm.v,NA(),0,-1))</f>
        <v>188.41</v>
      </c>
      <c r="D10" s="6" cm="1">
        <f t="array" ref="D10">_xlfn.LET(_xlpm.v,INDEX(report!$B$2:$V$247,0,ROW()-1),_xlfn.XLOOKUP(TRUE,ISNUMBER(_xlpm.v),report!$A$2:$A$247,NA(),0,1))</f>
        <v>38776.041250000002</v>
      </c>
      <c r="E10" s="7" cm="1">
        <f t="array" ref="E10">_xlfn.LET(_xlpm.v,INDEX(report!$B$2:$V$247,0,ROW()-1),_xlfn.XLOOKUP(TRUE,ISNUMBER(_xlpm.v),_xlpm.v,NA(),0,1))</f>
        <v>25.61</v>
      </c>
      <c r="F10" s="8">
        <f t="shared" si="0"/>
        <v>-0.86407303221697362</v>
      </c>
      <c r="G10" s="9">
        <f t="shared" si="1"/>
        <v>-20.350444900752908</v>
      </c>
      <c r="H10" s="10">
        <f t="shared" si="2"/>
        <v>0.10303291682932936</v>
      </c>
      <c r="I10" s="10">
        <f t="shared" si="3"/>
        <v>8.2054468849179774E-3</v>
      </c>
      <c r="J10" s="10">
        <f>_xlfn.AGGREGATE(1,6,INDEX(Crecimiento!$B$2:$L$304,0,ROW()-1))</f>
        <v>-2.2568459874062817E-3</v>
      </c>
      <c r="K10" s="10">
        <f>_xlfn.AGGREGATE(7,6,INDEX(Crecimiento!$B$2:$L$304,0,ROW()-1))</f>
        <v>0.12560339414378743</v>
      </c>
      <c r="L10" s="12">
        <f>_xlfn.AGGREGATE(10,6,INDEX(Crecimiento!$B$2:$L$304,0,ROW()-1))</f>
        <v>1.5776212620439618E-2</v>
      </c>
    </row>
    <row r="11" spans="1:12" x14ac:dyDescent="0.75">
      <c r="A11" s="5">
        <v>0</v>
      </c>
      <c r="B11" s="6" cm="1">
        <f t="array" ref="B11">_xlfn.LET(_xlpm.v,INDEX(report!$B$2:$V$247,0,ROW()-1),_xlfn.XLOOKUP(TRUE,ISNUMBER(_xlpm.v),report!$A$2:$A$247,NA(),0,-1))</f>
        <v>46203.041250000002</v>
      </c>
      <c r="C11" s="7" cm="1">
        <f t="array" ref="C11">_xlfn.LET(_xlpm.v,INDEX(report!$B$2:$V$247,0,ROW()-1),_xlfn.XLOOKUP(TRUE,ISNUMBER(_xlpm.v),_xlpm.v,NA(),0,-1))</f>
        <v>2.0908236075004138E-2</v>
      </c>
      <c r="D11" s="6" cm="1">
        <f t="array" ref="D11">_xlfn.LET(_xlpm.v,INDEX(report!$B$2:$V$247,0,ROW()-1),_xlfn.XLOOKUP(TRUE,ISNUMBER(_xlpm.v),report!$A$2:$A$247,NA(),0,1))</f>
        <v>38807.041250000002</v>
      </c>
      <c r="E11" s="7" cm="1">
        <f t="array" ref="E11">_xlfn.LET(_xlpm.v,INDEX(report!$B$2:$V$247,0,ROW()-1),_xlfn.XLOOKUP(TRUE,ISNUMBER(_xlpm.v),_xlpm.v,NA(),0,1))</f>
        <v>1.0933229207340966E-2</v>
      </c>
      <c r="F11" s="8">
        <f t="shared" si="0"/>
        <v>-0.47708505068910734</v>
      </c>
      <c r="G11" s="9">
        <f t="shared" si="1"/>
        <v>-20.249144421629023</v>
      </c>
      <c r="H11" s="10">
        <f t="shared" si="2"/>
        <v>3.2536057279387576E-2</v>
      </c>
      <c r="I11" s="10">
        <f t="shared" si="3"/>
        <v>2.6717266797127159E-3</v>
      </c>
      <c r="J11" s="10">
        <f>_xlfn.AGGREGATE(1,6,INDEX(Crecimiento!$B$2:$L$304,0,ROW()-1))</f>
        <v>-3.0102215107816444E-3</v>
      </c>
      <c r="K11" s="10">
        <f>_xlfn.AGGREGATE(7,6,INDEX(Crecimiento!$B$2:$L$304,0,ROW()-1))</f>
        <v>6.0377229366681322E-2</v>
      </c>
      <c r="L11" s="12">
        <f>_xlfn.AGGREGATE(10,6,INDEX(Crecimiento!$B$2:$L$304,0,ROW()-1))</f>
        <v>3.6454098259968456E-3</v>
      </c>
    </row>
    <row r="12" spans="1:12" x14ac:dyDescent="0.75">
      <c r="A12" s="5" t="str">
        <v>GRUMA</v>
      </c>
      <c r="B12" s="6" cm="1">
        <f t="array" ref="B12">_xlfn.LET(_xlpm.v,INDEX(report!$B$2:$V$247,0,ROW()-1),_xlfn.XLOOKUP(TRUE,ISNUMBER(_xlpm.v),report!$A$2:$A$247,NA(),0,-1))</f>
        <v>46209.041250000002</v>
      </c>
      <c r="C12" s="7" cm="1">
        <f t="array" ref="C12">_xlfn.LET(_xlpm.v,INDEX(report!$B$2:$V$247,0,ROW()-1),_xlfn.XLOOKUP(TRUE,ISNUMBER(_xlpm.v),_xlpm.v,NA(),0,-1))</f>
        <v>283.23</v>
      </c>
      <c r="D12" s="6" cm="1">
        <f t="array" ref="D12">_xlfn.LET(_xlpm.v,INDEX(report!$B$2:$V$247,0,ROW()-1),_xlfn.XLOOKUP(TRUE,ISNUMBER(_xlpm.v),report!$A$2:$A$247,NA(),0,1))</f>
        <v>38776.041250000002</v>
      </c>
      <c r="E12" s="7" cm="1">
        <f t="array" ref="E12">_xlfn.LET(_xlpm.v,INDEX(report!$B$2:$V$247,0,ROW()-1),_xlfn.XLOOKUP(TRUE,ISNUMBER(_xlpm.v),_xlpm.v,NA(),0,1))</f>
        <v>33.229999999999997</v>
      </c>
      <c r="F12" s="8">
        <f t="shared" si="0"/>
        <v>-0.88267485788934785</v>
      </c>
      <c r="G12" s="9">
        <f t="shared" si="1"/>
        <v>-20.350444900752908</v>
      </c>
      <c r="H12" s="10">
        <f t="shared" si="2"/>
        <v>0.11103865190962292</v>
      </c>
      <c r="I12" s="10">
        <f t="shared" si="3"/>
        <v>8.8132180758238032E-3</v>
      </c>
      <c r="J12" s="10">
        <f>_xlfn.AGGREGATE(1,6,INDEX(Crecimiento!$B$2:$L$304,0,ROW()-1))</f>
        <v>-5.9841842343403174E-4</v>
      </c>
      <c r="K12" s="10">
        <f>_xlfn.AGGREGATE(7,6,INDEX(Crecimiento!$B$2:$L$304,0,ROW()-1))</f>
        <v>1.0952182741280127E-2</v>
      </c>
      <c r="L12" s="12">
        <f>_xlfn.AGGREGATE(10,6,INDEX(Crecimiento!$B$2:$L$304,0,ROW()-1))</f>
        <v>1.1995030679839428E-4</v>
      </c>
    </row>
    <row r="13" spans="1:12" x14ac:dyDescent="0.75">
      <c r="A13">
        <v>0</v>
      </c>
    </row>
    <row r="14" spans="1:12" x14ac:dyDescent="0.75">
      <c r="A14" t="str">
        <v>HERDEZ</v>
      </c>
    </row>
    <row r="15" spans="1:12" x14ac:dyDescent="0.75">
      <c r="A15">
        <v>0</v>
      </c>
    </row>
    <row r="16" spans="1:12" x14ac:dyDescent="0.75">
      <c r="A16" t="str">
        <v>KIMBERLY CLARK</v>
      </c>
    </row>
    <row r="17" spans="1:1" x14ac:dyDescent="0.75">
      <c r="A17">
        <v>0</v>
      </c>
    </row>
    <row r="18" spans="1:1" x14ac:dyDescent="0.75">
      <c r="A18" t="str">
        <v>PEÑOLES</v>
      </c>
    </row>
    <row r="19" spans="1:1" x14ac:dyDescent="0.75">
      <c r="A19">
        <v>0</v>
      </c>
    </row>
    <row r="20" spans="1:1" x14ac:dyDescent="0.75">
      <c r="A20" t="str">
        <v>WALMART</v>
      </c>
    </row>
    <row r="21" spans="1:1" x14ac:dyDescent="0.75">
      <c r="A21">
        <v>0</v>
      </c>
    </row>
    <row r="22" spans="1:1" x14ac:dyDescent="0.75">
      <c r="A22" t="str">
        <v>IPC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report</vt:lpstr>
      <vt:lpstr>Gráficas</vt:lpstr>
      <vt:lpstr>Crecimiento</vt:lpstr>
      <vt:lpstr>Gráficas Crecimiento</vt:lpstr>
      <vt:lpstr>Crecimiento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Vázquez Cotera</dc:creator>
  <cp:lastModifiedBy>Juan David Zapata</cp:lastModifiedBy>
  <dcterms:created xsi:type="dcterms:W3CDTF">2026-08-18T23:13:15Z</dcterms:created>
  <dcterms:modified xsi:type="dcterms:W3CDTF">2026-09-02T00:47:27Z</dcterms:modified>
</cp:coreProperties>
</file>